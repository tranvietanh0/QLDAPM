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S - Gantt Chart" sheetId="1" state="visible" r:id="rId1"/>
    <sheet xmlns:r="http://schemas.openxmlformats.org/officeDocument/2006/relationships" name="Phân bổ nguồn lực" sheetId="2" state="visible" r:id="rId2"/>
  </sheets>
  <definedNames>
    <definedName name="_xlnm.Print_Titles" localSheetId="0">'IMS - Gantt Chart'!$7:$9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22"/>
    </font>
    <font>
      <name val="Calibri"/>
      <b val="1"/>
      <sz val="10"/>
    </font>
    <font>
      <name val="Calibri"/>
      <sz val="10"/>
    </font>
    <font>
      <name val="Calibri"/>
      <b val="1"/>
      <sz val="9"/>
    </font>
    <font>
      <name val="Calibri"/>
      <b val="1"/>
      <sz val="8"/>
    </font>
    <font>
      <name val="Calibri"/>
      <b val="1"/>
      <color rgb="00FFFFFF"/>
      <sz val="9"/>
    </font>
    <font>
      <name val="Calibri"/>
      <b val="1"/>
      <color rgb="001F3864"/>
      <sz val="12"/>
    </font>
    <font>
      <name val="Calibri"/>
      <b val="1"/>
      <color rgb="001F3864"/>
      <sz val="16"/>
    </font>
  </fonts>
  <fills count="11">
    <fill>
      <patternFill/>
    </fill>
    <fill>
      <patternFill patternType="gray125"/>
    </fill>
    <fill>
      <patternFill patternType="solid">
        <fgColor rgb="00DEEBF7"/>
        <bgColor rgb="00DEEBF7"/>
      </patternFill>
    </fill>
    <fill>
      <patternFill patternType="solid">
        <fgColor rgb="00D6DCE4"/>
        <bgColor rgb="00D6DCE4"/>
      </patternFill>
    </fill>
    <fill>
      <patternFill patternType="solid">
        <fgColor rgb="00D9E2F3"/>
        <bgColor rgb="00D9E2F3"/>
      </patternFill>
    </fill>
    <fill>
      <patternFill patternType="solid">
        <fgColor rgb="002F5597"/>
        <bgColor rgb="002F5597"/>
      </patternFill>
    </fill>
    <fill>
      <patternFill patternType="solid">
        <fgColor rgb="00EAEEF3"/>
        <bgColor rgb="00EAEEF3"/>
      </patternFill>
    </fill>
    <fill>
      <patternFill patternType="solid">
        <fgColor rgb="00F4B183"/>
        <bgColor rgb="00F4B183"/>
      </patternFill>
    </fill>
    <fill>
      <patternFill patternType="solid">
        <fgColor rgb="009DC3E6"/>
        <bgColor rgb="009DC3E6"/>
      </patternFill>
    </fill>
    <fill>
      <patternFill patternType="solid">
        <fgColor rgb="00A9D18E"/>
        <bgColor rgb="00A9D18E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49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9" fontId="2" fillId="4" borderId="1" applyAlignment="1" pivotButton="0" quotePrefix="0" xfId="0">
      <alignment horizontal="center" vertical="center"/>
    </xf>
    <xf numFmtId="0" fontId="0" fillId="5" borderId="1" pivotButton="0" quotePrefix="0" xfId="0"/>
    <xf numFmtId="49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0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6" fillId="1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0" fillId="5" borderId="0" pivotButton="0" quotePrefix="0" xfId="0"/>
    <xf numFmtId="0" fontId="0" fillId="8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P153"/>
  <sheetViews>
    <sheetView showGridLines="0" workbookViewId="0">
      <pane xSplit="8" ySplit="9" topLeftCell="I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84" customWidth="1" min="3" max="3"/>
    <col width="9" customWidth="1" min="4" max="4"/>
    <col width="11" customWidth="1" min="5" max="5"/>
    <col width="11" customWidth="1" min="6" max="6"/>
    <col width="10" customWidth="1" min="7" max="7"/>
    <col width="12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  <col width="3.4" customWidth="1" min="36" max="36"/>
    <col width="3.4" customWidth="1" min="37" max="37"/>
    <col width="3.4" customWidth="1" min="38" max="38"/>
    <col width="3.4" customWidth="1" min="39" max="39"/>
    <col width="3.4" customWidth="1" min="40" max="40"/>
    <col width="3.4" customWidth="1" min="41" max="41"/>
    <col width="3.4" customWidth="1" min="42" max="42"/>
    <col width="3.4" customWidth="1" min="43" max="43"/>
    <col width="3.4" customWidth="1" min="44" max="44"/>
    <col width="3.4" customWidth="1" min="45" max="45"/>
    <col width="3.4" customWidth="1" min="46" max="46"/>
    <col width="3.4" customWidth="1" min="47" max="47"/>
    <col width="3.4" customWidth="1" min="48" max="48"/>
    <col width="3.4" customWidth="1" min="49" max="49"/>
    <col width="3.4" customWidth="1" min="50" max="50"/>
    <col width="3.4" customWidth="1" min="51" max="51"/>
    <col width="3.4" customWidth="1" min="52" max="52"/>
    <col width="3.4" customWidth="1" min="53" max="53"/>
    <col width="3.4" customWidth="1" min="54" max="54"/>
    <col width="3.4" customWidth="1" min="55" max="55"/>
    <col width="3.4" customWidth="1" min="56" max="56"/>
    <col width="3.4" customWidth="1" min="57" max="57"/>
    <col width="3.4" customWidth="1" min="58" max="58"/>
    <col width="3.4" customWidth="1" min="59" max="59"/>
    <col width="3.4" customWidth="1" min="60" max="60"/>
    <col width="3.4" customWidth="1" min="61" max="61"/>
    <col width="3.4" customWidth="1" min="62" max="62"/>
    <col width="3.4" customWidth="1" min="63" max="63"/>
    <col width="3.4" customWidth="1" min="64" max="64"/>
    <col width="3.4" customWidth="1" min="65" max="65"/>
    <col width="3.4" customWidth="1" min="66" max="66"/>
    <col width="3.4" customWidth="1" min="67" max="67"/>
    <col width="3.4" customWidth="1" min="68" max="68"/>
  </cols>
  <sheetData>
    <row r="1" ht="49.5" customHeight="1">
      <c r="B1" s="1" t="inlineStr">
        <is>
          <t>IMS - Gantt Chart (12 tuần / 6 Sprint)</t>
        </is>
      </c>
    </row>
    <row r="2" ht="24" customHeight="1">
      <c r="B2" s="2" t="inlineStr">
        <is>
          <t>Project Title</t>
        </is>
      </c>
      <c r="D2" s="3" t="inlineStr">
        <is>
          <t>IMS - Hệ thống quản lý thực tập sinh (Intern Management System)</t>
        </is>
      </c>
    </row>
    <row r="3" ht="24" customHeight="1">
      <c r="B3" s="2" t="inlineStr">
        <is>
          <t>Project Manager</t>
        </is>
      </c>
      <c r="D3" s="3" t="inlineStr">
        <is>
          <t>Trần Việt Anh (kiêm PM, BA, FE, BE, TEST)</t>
        </is>
      </c>
    </row>
    <row r="4" ht="24" customHeight="1">
      <c r="B4" s="2" t="inlineStr">
        <is>
          <t>Môn học</t>
        </is>
      </c>
      <c r="D4" s="3" t="inlineStr">
        <is>
          <t>Quản lý dự án phần mềm - Học viện Công nghệ Bưu chính Viễn thông (PTIT)</t>
        </is>
      </c>
    </row>
    <row r="5" ht="24" customHeight="1">
      <c r="B5" s="2" t="inlineStr">
        <is>
          <t>Date</t>
        </is>
      </c>
      <c r="D5" s="4" t="n">
        <v>46265</v>
      </c>
    </row>
    <row r="7" ht="30" customHeight="1">
      <c r="I7" s="5" t="inlineStr">
        <is>
          <t>SPRINT 0 - KHỞI ĐỘNG &amp; THIẾT KẾ
31/08/2026 - 11/09/2026</t>
        </is>
      </c>
      <c r="S7" s="5" t="inlineStr">
        <is>
          <t>SPRINT 1 - ĐĂNG NHẬP &amp; QUẢN TRỊ
14/09/2026 - 25/09/2026</t>
        </is>
      </c>
      <c r="AC7" s="5" t="inlineStr">
        <is>
          <t>SPRINT 2 - HỒ SƠ INTERN &amp; MENTOR
28/09/2026 - 09/10/2026</t>
        </is>
      </c>
      <c r="AM7" s="5" t="inlineStr">
        <is>
          <t>SPRINT 3 - GIAO VIỆC &amp; BÁO CÁO
12/10/2026 - 23/10/2026</t>
        </is>
      </c>
      <c r="AW7" s="5" t="inlineStr">
        <is>
          <t>SPRINT 4 - ĐÁNH GIÁ &amp; DASHBOARD
26/10/2026 - 06/11/2026</t>
        </is>
      </c>
      <c r="BG7" s="5" t="inlineStr">
        <is>
          <t>SPRINT 5 - KIỂM THỬ &amp; PHÁT HÀNH
09/11/2026 - 20/11/2026</t>
        </is>
      </c>
    </row>
    <row r="8" ht="30" customHeight="1">
      <c r="B8" s="6" t="inlineStr">
        <is>
          <t>TASK</t>
        </is>
      </c>
      <c r="C8" s="6" t="inlineStr">
        <is>
          <t>TASK</t>
        </is>
      </c>
      <c r="D8" s="6" t="inlineStr">
        <is>
          <t>TASK</t>
        </is>
      </c>
      <c r="E8" s="6" t="inlineStr">
        <is>
          <t>START</t>
        </is>
      </c>
      <c r="F8" s="6" t="inlineStr">
        <is>
          <t>DUE</t>
        </is>
      </c>
      <c r="G8" s="6" t="inlineStr">
        <is>
          <t>DURATION</t>
        </is>
      </c>
      <c r="H8" s="6" t="inlineStr">
        <is>
          <t>PCT OF TASK</t>
        </is>
      </c>
      <c r="I8" s="7" t="inlineStr">
        <is>
          <t>WEEK 1
31/08 - 04/09</t>
        </is>
      </c>
      <c r="N8" s="7" t="inlineStr">
        <is>
          <t>WEEK 2
07/09 - 11/09</t>
        </is>
      </c>
      <c r="S8" s="7" t="inlineStr">
        <is>
          <t>WEEK 3
14/09 - 18/09</t>
        </is>
      </c>
      <c r="X8" s="7" t="inlineStr">
        <is>
          <t>WEEK 4
21/09 - 25/09</t>
        </is>
      </c>
      <c r="AC8" s="7" t="inlineStr">
        <is>
          <t>WEEK 5
28/09 - 02/10</t>
        </is>
      </c>
      <c r="AH8" s="7" t="inlineStr">
        <is>
          <t>WEEK 6
05/10 - 09/10</t>
        </is>
      </c>
      <c r="AM8" s="7" t="inlineStr">
        <is>
          <t>WEEK 7
12/10 - 16/10</t>
        </is>
      </c>
      <c r="AR8" s="7" t="inlineStr">
        <is>
          <t>WEEK 8
19/10 - 23/10</t>
        </is>
      </c>
      <c r="AW8" s="7" t="inlineStr">
        <is>
          <t>WEEK 9
26/10 - 30/10</t>
        </is>
      </c>
      <c r="BB8" s="7" t="inlineStr">
        <is>
          <t>WEEK 10
02/11 - 06/11</t>
        </is>
      </c>
      <c r="BG8" s="7" t="inlineStr">
        <is>
          <t>WEEK 11
09/11 - 13/11</t>
        </is>
      </c>
      <c r="BL8" s="7" t="inlineStr">
        <is>
          <t>WEEK 12
16/11 - 20/11</t>
        </is>
      </c>
    </row>
    <row r="9" ht="28.5" customHeight="1">
      <c r="B9" s="6" t="inlineStr">
        <is>
          <t>ID</t>
        </is>
      </c>
      <c r="C9" s="6" t="inlineStr">
        <is>
          <t>TITLE</t>
        </is>
      </c>
      <c r="D9" s="6" t="inlineStr">
        <is>
          <t>OWNER</t>
        </is>
      </c>
      <c r="E9" s="6" t="inlineStr">
        <is>
          <t>DATE</t>
        </is>
      </c>
      <c r="F9" s="6" t="inlineStr">
        <is>
          <t>DATE</t>
        </is>
      </c>
      <c r="G9" s="6" t="inlineStr">
        <is>
          <t>IN DAYS</t>
        </is>
      </c>
      <c r="H9" s="6" t="inlineStr">
        <is>
          <t>COMPLETE</t>
        </is>
      </c>
      <c r="I9" s="8" t="inlineStr">
        <is>
          <t>M
31/8</t>
        </is>
      </c>
      <c r="J9" s="8" t="inlineStr">
        <is>
          <t>T
1/9</t>
        </is>
      </c>
      <c r="K9" s="8" t="inlineStr">
        <is>
          <t>W
2</t>
        </is>
      </c>
      <c r="L9" s="8" t="inlineStr">
        <is>
          <t>R
3</t>
        </is>
      </c>
      <c r="M9" s="8" t="inlineStr">
        <is>
          <t>F
4</t>
        </is>
      </c>
      <c r="N9" s="8" t="inlineStr">
        <is>
          <t>M
7</t>
        </is>
      </c>
      <c r="O9" s="8" t="inlineStr">
        <is>
          <t>T
8</t>
        </is>
      </c>
      <c r="P9" s="8" t="inlineStr">
        <is>
          <t>W
9</t>
        </is>
      </c>
      <c r="Q9" s="8" t="inlineStr">
        <is>
          <t>R
10</t>
        </is>
      </c>
      <c r="R9" s="8" t="inlineStr">
        <is>
          <t>F
11</t>
        </is>
      </c>
      <c r="S9" s="8" t="inlineStr">
        <is>
          <t>M
14</t>
        </is>
      </c>
      <c r="T9" s="8" t="inlineStr">
        <is>
          <t>T
15</t>
        </is>
      </c>
      <c r="U9" s="8" t="inlineStr">
        <is>
          <t>W
16</t>
        </is>
      </c>
      <c r="V9" s="8" t="inlineStr">
        <is>
          <t>R
17</t>
        </is>
      </c>
      <c r="W9" s="8" t="inlineStr">
        <is>
          <t>F
18</t>
        </is>
      </c>
      <c r="X9" s="8" t="inlineStr">
        <is>
          <t>M
21</t>
        </is>
      </c>
      <c r="Y9" s="8" t="inlineStr">
        <is>
          <t>T
22</t>
        </is>
      </c>
      <c r="Z9" s="8" t="inlineStr">
        <is>
          <t>W
23</t>
        </is>
      </c>
      <c r="AA9" s="8" t="inlineStr">
        <is>
          <t>R
24</t>
        </is>
      </c>
      <c r="AB9" s="8" t="inlineStr">
        <is>
          <t>F
25</t>
        </is>
      </c>
      <c r="AC9" s="8" t="inlineStr">
        <is>
          <t>M
28</t>
        </is>
      </c>
      <c r="AD9" s="8" t="inlineStr">
        <is>
          <t>T
29</t>
        </is>
      </c>
      <c r="AE9" s="8" t="inlineStr">
        <is>
          <t>W
30</t>
        </is>
      </c>
      <c r="AF9" s="8" t="inlineStr">
        <is>
          <t>R
1/10</t>
        </is>
      </c>
      <c r="AG9" s="8" t="inlineStr">
        <is>
          <t>F
2</t>
        </is>
      </c>
      <c r="AH9" s="8" t="inlineStr">
        <is>
          <t>M
5</t>
        </is>
      </c>
      <c r="AI9" s="8" t="inlineStr">
        <is>
          <t>T
6</t>
        </is>
      </c>
      <c r="AJ9" s="8" t="inlineStr">
        <is>
          <t>W
7</t>
        </is>
      </c>
      <c r="AK9" s="8" t="inlineStr">
        <is>
          <t>R
8</t>
        </is>
      </c>
      <c r="AL9" s="8" t="inlineStr">
        <is>
          <t>F
9</t>
        </is>
      </c>
      <c r="AM9" s="8" t="inlineStr">
        <is>
          <t>M
12</t>
        </is>
      </c>
      <c r="AN9" s="8" t="inlineStr">
        <is>
          <t>T
13</t>
        </is>
      </c>
      <c r="AO9" s="8" t="inlineStr">
        <is>
          <t>W
14</t>
        </is>
      </c>
      <c r="AP9" s="8" t="inlineStr">
        <is>
          <t>R
15</t>
        </is>
      </c>
      <c r="AQ9" s="8" t="inlineStr">
        <is>
          <t>F
16</t>
        </is>
      </c>
      <c r="AR9" s="8" t="inlineStr">
        <is>
          <t>M
19</t>
        </is>
      </c>
      <c r="AS9" s="8" t="inlineStr">
        <is>
          <t>T
20</t>
        </is>
      </c>
      <c r="AT9" s="8" t="inlineStr">
        <is>
          <t>W
21</t>
        </is>
      </c>
      <c r="AU9" s="8" t="inlineStr">
        <is>
          <t>R
22</t>
        </is>
      </c>
      <c r="AV9" s="8" t="inlineStr">
        <is>
          <t>F
23</t>
        </is>
      </c>
      <c r="AW9" s="8" t="inlineStr">
        <is>
          <t>M
26</t>
        </is>
      </c>
      <c r="AX9" s="8" t="inlineStr">
        <is>
          <t>T
27</t>
        </is>
      </c>
      <c r="AY9" s="8" t="inlineStr">
        <is>
          <t>W
28</t>
        </is>
      </c>
      <c r="AZ9" s="8" t="inlineStr">
        <is>
          <t>R
29</t>
        </is>
      </c>
      <c r="BA9" s="8" t="inlineStr">
        <is>
          <t>F
30</t>
        </is>
      </c>
      <c r="BB9" s="8" t="inlineStr">
        <is>
          <t>M
2</t>
        </is>
      </c>
      <c r="BC9" s="8" t="inlineStr">
        <is>
          <t>T
3</t>
        </is>
      </c>
      <c r="BD9" s="8" t="inlineStr">
        <is>
          <t>W
4</t>
        </is>
      </c>
      <c r="BE9" s="8" t="inlineStr">
        <is>
          <t>R
5</t>
        </is>
      </c>
      <c r="BF9" s="8" t="inlineStr">
        <is>
          <t>F
6</t>
        </is>
      </c>
      <c r="BG9" s="8" t="inlineStr">
        <is>
          <t>M
9</t>
        </is>
      </c>
      <c r="BH9" s="8" t="inlineStr">
        <is>
          <t>T
10</t>
        </is>
      </c>
      <c r="BI9" s="8" t="inlineStr">
        <is>
          <t>W
11</t>
        </is>
      </c>
      <c r="BJ9" s="8" t="inlineStr">
        <is>
          <t>R
12</t>
        </is>
      </c>
      <c r="BK9" s="8" t="inlineStr">
        <is>
          <t>F
13</t>
        </is>
      </c>
      <c r="BL9" s="8" t="inlineStr">
        <is>
          <t>M
16</t>
        </is>
      </c>
      <c r="BM9" s="8" t="inlineStr">
        <is>
          <t>T
17</t>
        </is>
      </c>
      <c r="BN9" s="8" t="inlineStr">
        <is>
          <t>W
18</t>
        </is>
      </c>
      <c r="BO9" s="8" t="inlineStr">
        <is>
          <t>R
19</t>
        </is>
      </c>
      <c r="BP9" s="8" t="inlineStr">
        <is>
          <t>F
20</t>
        </is>
      </c>
    </row>
    <row r="10" ht="19.5" customHeight="1">
      <c r="B10" s="9" t="inlineStr">
        <is>
          <t>1</t>
        </is>
      </c>
      <c r="C10" s="10" t="inlineStr">
        <is>
          <t>Quản trị dự án</t>
        </is>
      </c>
      <c r="D10" s="11" t="inlineStr">
        <is>
          <t>PM</t>
        </is>
      </c>
      <c r="E10" s="12" t="n">
        <v>46265</v>
      </c>
      <c r="F10" s="12" t="n">
        <v>46346</v>
      </c>
      <c r="G10" s="11">
        <f>IF(OR(E10="",F10=""),"",NETWORKDAYS(E10,F10))</f>
        <v/>
      </c>
      <c r="H10" s="13" t="n">
        <v>0</v>
      </c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  <c r="BG10" s="14" t="n"/>
      <c r="BH10" s="14" t="n"/>
      <c r="BI10" s="14" t="n"/>
      <c r="BJ10" s="14" t="n"/>
      <c r="BK10" s="14" t="n"/>
      <c r="BL10" s="14" t="n"/>
      <c r="BM10" s="14" t="n"/>
      <c r="BN10" s="14" t="n"/>
      <c r="BO10" s="14" t="n"/>
      <c r="BP10" s="14" t="n"/>
    </row>
    <row r="11" ht="19.5" customHeight="1">
      <c r="B11" s="15" t="inlineStr">
        <is>
          <t>1.1</t>
        </is>
      </c>
      <c r="C11" s="16" t="inlineStr">
        <is>
          <t>Viết Project Charter: mục tiêu, phạm vi, stakeholder, tiêu chí thành công SC-01..SC-06</t>
        </is>
      </c>
      <c r="D11" s="17" t="inlineStr">
        <is>
          <t>PM</t>
        </is>
      </c>
      <c r="E11" s="18" t="n">
        <v>46265</v>
      </c>
      <c r="F11" s="19" t="n">
        <v>46266</v>
      </c>
      <c r="G11" s="17">
        <f>IF(OR(E11="",F11=""),"",NETWORKDAYS(E11,F11))</f>
        <v/>
      </c>
      <c r="H11" s="20" t="n">
        <v>0</v>
      </c>
      <c r="I11" s="21" t="n"/>
      <c r="J11" s="21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2" t="n"/>
      <c r="BE11" s="22" t="n"/>
      <c r="BF11" s="22" t="n"/>
      <c r="BG11" s="22" t="n"/>
      <c r="BH11" s="22" t="n"/>
      <c r="BI11" s="22" t="n"/>
      <c r="BJ11" s="22" t="n"/>
      <c r="BK11" s="22" t="n"/>
      <c r="BL11" s="22" t="n"/>
      <c r="BM11" s="22" t="n"/>
      <c r="BN11" s="22" t="n"/>
      <c r="BO11" s="22" t="n"/>
      <c r="BP11" s="22" t="n"/>
    </row>
    <row r="12" ht="19.5" customHeight="1">
      <c r="B12" s="15" t="inlineStr">
        <is>
          <t>1.2</t>
        </is>
      </c>
      <c r="C12" s="16" t="inlineStr">
        <is>
          <t>Lập Scope Statement: chốt in-scope FR-01..FR-30 và danh sách out-of-scope</t>
        </is>
      </c>
      <c r="D12" s="17" t="inlineStr">
        <is>
          <t>PM</t>
        </is>
      </c>
      <c r="E12" s="18" t="n">
        <v>46266</v>
      </c>
      <c r="F12" s="19" t="n">
        <v>46267</v>
      </c>
      <c r="G12" s="17">
        <f>IF(OR(E12="",F12=""),"",NETWORKDAYS(E12,F12))</f>
        <v/>
      </c>
      <c r="H12" s="20" t="n">
        <v>0</v>
      </c>
      <c r="I12" s="22" t="n"/>
      <c r="J12" s="23" t="n"/>
      <c r="K12" s="23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</row>
    <row r="13" ht="19.5" customHeight="1">
      <c r="B13" s="15" t="inlineStr">
        <is>
          <t>1.3</t>
        </is>
      </c>
      <c r="C13" s="16" t="inlineStr">
        <is>
          <t>Phân rã WBS 10 nhóm công việc, ước lượng Story Point (Planning Poker) và giờ công</t>
        </is>
      </c>
      <c r="D13" s="17" t="inlineStr">
        <is>
          <t>PM</t>
        </is>
      </c>
      <c r="E13" s="18" t="n">
        <v>46268</v>
      </c>
      <c r="F13" s="19" t="n">
        <v>46269</v>
      </c>
      <c r="G13" s="17">
        <f>IF(OR(E13="",F13=""),"",NETWORKDAYS(E13,F13))</f>
        <v/>
      </c>
      <c r="H13" s="20" t="n">
        <v>0</v>
      </c>
      <c r="I13" s="22" t="n"/>
      <c r="J13" s="22" t="n"/>
      <c r="K13" s="22" t="n"/>
      <c r="L13" s="23" t="n"/>
      <c r="M13" s="23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2" t="n"/>
      <c r="AM13" s="22" t="n"/>
      <c r="AN13" s="22" t="n"/>
      <c r="AO13" s="22" t="n"/>
      <c r="AP13" s="22" t="n"/>
      <c r="AQ13" s="22" t="n"/>
      <c r="AR13" s="22" t="n"/>
      <c r="AS13" s="22" t="n"/>
      <c r="AT13" s="22" t="n"/>
      <c r="AU13" s="22" t="n"/>
      <c r="AV13" s="22" t="n"/>
      <c r="AW13" s="22" t="n"/>
      <c r="AX13" s="22" t="n"/>
      <c r="AY13" s="22" t="n"/>
      <c r="AZ13" s="22" t="n"/>
      <c r="BA13" s="22" t="n"/>
      <c r="BB13" s="22" t="n"/>
      <c r="BC13" s="22" t="n"/>
      <c r="BD13" s="22" t="n"/>
      <c r="BE13" s="22" t="n"/>
      <c r="BF13" s="22" t="n"/>
      <c r="BG13" s="22" t="n"/>
      <c r="BH13" s="22" t="n"/>
      <c r="BI13" s="22" t="n"/>
      <c r="BJ13" s="22" t="n"/>
      <c r="BK13" s="22" t="n"/>
      <c r="BL13" s="22" t="n"/>
      <c r="BM13" s="22" t="n"/>
      <c r="BN13" s="22" t="n"/>
      <c r="BO13" s="22" t="n"/>
      <c r="BP13" s="22" t="n"/>
    </row>
    <row r="14" ht="19.5" customHeight="1">
      <c r="B14" s="15" t="inlineStr">
        <is>
          <t>1.4</t>
        </is>
      </c>
      <c r="C14" s="16" t="inlineStr">
        <is>
          <t>Lập Gantt baseline, xác định đường găng và 6 mốc kiểm soát M1..M6</t>
        </is>
      </c>
      <c r="D14" s="17" t="inlineStr">
        <is>
          <t>PM</t>
        </is>
      </c>
      <c r="E14" s="18" t="n">
        <v>46269</v>
      </c>
      <c r="F14" s="19" t="n">
        <v>46272</v>
      </c>
      <c r="G14" s="17">
        <f>IF(OR(E14="",F14=""),"",NETWORKDAYS(E14,F14))</f>
        <v/>
      </c>
      <c r="H14" s="20" t="n">
        <v>0</v>
      </c>
      <c r="I14" s="22" t="n"/>
      <c r="J14" s="22" t="n"/>
      <c r="K14" s="22" t="n"/>
      <c r="L14" s="22" t="n"/>
      <c r="M14" s="23" t="n"/>
      <c r="N14" s="23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  <c r="AK14" s="22" t="n"/>
      <c r="AL14" s="22" t="n"/>
      <c r="AM14" s="22" t="n"/>
      <c r="AN14" s="22" t="n"/>
      <c r="AO14" s="22" t="n"/>
      <c r="AP14" s="22" t="n"/>
      <c r="AQ14" s="22" t="n"/>
      <c r="AR14" s="22" t="n"/>
      <c r="AS14" s="22" t="n"/>
      <c r="AT14" s="22" t="n"/>
      <c r="AU14" s="22" t="n"/>
      <c r="AV14" s="22" t="n"/>
      <c r="AW14" s="22" t="n"/>
      <c r="AX14" s="22" t="n"/>
      <c r="AY14" s="22" t="n"/>
      <c r="AZ14" s="22" t="n"/>
      <c r="BA14" s="22" t="n"/>
      <c r="BB14" s="22" t="n"/>
      <c r="BC14" s="22" t="n"/>
      <c r="BD14" s="22" t="n"/>
      <c r="BE14" s="22" t="n"/>
      <c r="BF14" s="22" t="n"/>
      <c r="BG14" s="22" t="n"/>
      <c r="BH14" s="22" t="n"/>
      <c r="BI14" s="22" t="n"/>
      <c r="BJ14" s="22" t="n"/>
      <c r="BK14" s="22" t="n"/>
      <c r="BL14" s="22" t="n"/>
      <c r="BM14" s="22" t="n"/>
      <c r="BN14" s="22" t="n"/>
      <c r="BO14" s="22" t="n"/>
      <c r="BP14" s="22" t="n"/>
    </row>
    <row r="15" ht="19.5" customHeight="1">
      <c r="B15" s="15" t="inlineStr">
        <is>
          <t>1.5</t>
        </is>
      </c>
      <c r="C15" s="16" t="inlineStr">
        <is>
          <t>Lập kế hoạch nguồn lực 1 người - 5 vai trò: lịch luân phiên vai trò và ma trận RACI</t>
        </is>
      </c>
      <c r="D15" s="17" t="inlineStr">
        <is>
          <t>PM</t>
        </is>
      </c>
      <c r="E15" s="18" t="n">
        <v>46272</v>
      </c>
      <c r="F15" s="19" t="n">
        <v>46273</v>
      </c>
      <c r="G15" s="17">
        <f>IF(OR(E15="",F15=""),"",NETWORKDAYS(E15,F15))</f>
        <v/>
      </c>
      <c r="H15" s="20" t="n">
        <v>0</v>
      </c>
      <c r="I15" s="22" t="n"/>
      <c r="J15" s="22" t="n"/>
      <c r="K15" s="22" t="n"/>
      <c r="L15" s="22" t="n"/>
      <c r="M15" s="22" t="n"/>
      <c r="N15" s="23" t="n"/>
      <c r="O15" s="23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22" t="n"/>
      <c r="BD15" s="22" t="n"/>
      <c r="BE15" s="22" t="n"/>
      <c r="BF15" s="22" t="n"/>
      <c r="BG15" s="22" t="n"/>
      <c r="BH15" s="22" t="n"/>
      <c r="BI15" s="22" t="n"/>
      <c r="BJ15" s="22" t="n"/>
      <c r="BK15" s="22" t="n"/>
      <c r="BL15" s="22" t="n"/>
      <c r="BM15" s="22" t="n"/>
      <c r="BN15" s="22" t="n"/>
      <c r="BO15" s="22" t="n"/>
      <c r="BP15" s="22" t="n"/>
    </row>
    <row r="16" ht="19.5" customHeight="1">
      <c r="B16" s="15" t="inlineStr">
        <is>
          <t>1.6</t>
        </is>
      </c>
      <c r="C16" s="16" t="inlineStr">
        <is>
          <t>Tạo project Jira Scrum: 10 Epic, 6 Sprint, 16 User Story; import backlog bằng CSV</t>
        </is>
      </c>
      <c r="D16" s="17" t="inlineStr">
        <is>
          <t>PM</t>
        </is>
      </c>
      <c r="E16" s="18" t="n">
        <v>46273</v>
      </c>
      <c r="F16" s="19" t="n">
        <v>46274</v>
      </c>
      <c r="G16" s="17">
        <f>IF(OR(E16="",F16=""),"",NETWORKDAYS(E16,F16))</f>
        <v/>
      </c>
      <c r="H16" s="20" t="n">
        <v>0</v>
      </c>
      <c r="I16" s="22" t="n"/>
      <c r="J16" s="22" t="n"/>
      <c r="K16" s="22" t="n"/>
      <c r="L16" s="22" t="n"/>
      <c r="M16" s="22" t="n"/>
      <c r="N16" s="22" t="n"/>
      <c r="O16" s="23" t="n"/>
      <c r="P16" s="23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2" t="n"/>
      <c r="AM16" s="22" t="n"/>
      <c r="AN16" s="22" t="n"/>
      <c r="AO16" s="22" t="n"/>
      <c r="AP16" s="22" t="n"/>
      <c r="AQ16" s="22" t="n"/>
      <c r="AR16" s="22" t="n"/>
      <c r="AS16" s="22" t="n"/>
      <c r="AT16" s="22" t="n"/>
      <c r="AU16" s="22" t="n"/>
      <c r="AV16" s="22" t="n"/>
      <c r="AW16" s="22" t="n"/>
      <c r="AX16" s="22" t="n"/>
      <c r="AY16" s="22" t="n"/>
      <c r="AZ16" s="22" t="n"/>
      <c r="BA16" s="22" t="n"/>
      <c r="BB16" s="22" t="n"/>
      <c r="BC16" s="22" t="n"/>
      <c r="BD16" s="22" t="n"/>
      <c r="BE16" s="22" t="n"/>
      <c r="BF16" s="22" t="n"/>
      <c r="BG16" s="22" t="n"/>
      <c r="BH16" s="22" t="n"/>
      <c r="BI16" s="22" t="n"/>
      <c r="BJ16" s="22" t="n"/>
      <c r="BK16" s="22" t="n"/>
      <c r="BL16" s="22" t="n"/>
      <c r="BM16" s="22" t="n"/>
      <c r="BN16" s="22" t="n"/>
      <c r="BO16" s="22" t="n"/>
      <c r="BP16" s="22" t="n"/>
    </row>
    <row r="17" ht="19.5" customHeight="1">
      <c r="B17" s="15" t="inlineStr">
        <is>
          <t>1.7</t>
        </is>
      </c>
      <c r="C17" s="16" t="inlineStr">
        <is>
          <t>Lập Risk Register R-01..R-12, Communication Plan và biểu mẫu Change Request</t>
        </is>
      </c>
      <c r="D17" s="17" t="inlineStr">
        <is>
          <t>PM</t>
        </is>
      </c>
      <c r="E17" s="18" t="n">
        <v>46274</v>
      </c>
      <c r="F17" s="19" t="n">
        <v>46276</v>
      </c>
      <c r="G17" s="17">
        <f>IF(OR(E17="",F17=""),"",NETWORKDAYS(E17,F17))</f>
        <v/>
      </c>
      <c r="H17" s="20" t="n">
        <v>0</v>
      </c>
      <c r="I17" s="22" t="n"/>
      <c r="J17" s="22" t="n"/>
      <c r="K17" s="22" t="n"/>
      <c r="L17" s="22" t="n"/>
      <c r="M17" s="22" t="n"/>
      <c r="N17" s="22" t="n"/>
      <c r="O17" s="22" t="n"/>
      <c r="P17" s="23" t="n"/>
      <c r="Q17" s="23" t="n"/>
      <c r="R17" s="23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2" t="n"/>
      <c r="AU17" s="22" t="n"/>
      <c r="AV17" s="22" t="n"/>
      <c r="AW17" s="22" t="n"/>
      <c r="AX17" s="22" t="n"/>
      <c r="AY17" s="22" t="n"/>
      <c r="AZ17" s="22" t="n"/>
      <c r="BA17" s="22" t="n"/>
      <c r="BB17" s="22" t="n"/>
      <c r="BC17" s="22" t="n"/>
      <c r="BD17" s="22" t="n"/>
      <c r="BE17" s="22" t="n"/>
      <c r="BF17" s="22" t="n"/>
      <c r="BG17" s="22" t="n"/>
      <c r="BH17" s="22" t="n"/>
      <c r="BI17" s="22" t="n"/>
      <c r="BJ17" s="22" t="n"/>
      <c r="BK17" s="22" t="n"/>
      <c r="BL17" s="22" t="n"/>
      <c r="BM17" s="22" t="n"/>
      <c r="BN17" s="22" t="n"/>
      <c r="BO17" s="22" t="n"/>
      <c r="BP17" s="22" t="n"/>
    </row>
    <row r="18" ht="19.5" customHeight="1">
      <c r="B18" s="15" t="inlineStr">
        <is>
          <t>1.8</t>
        </is>
      </c>
      <c r="C18" s="16" t="inlineStr">
        <is>
          <t>Chủ trì Sprint Planning, Daily log, Sprint Review và Retrospective cho 5 Sprint</t>
        </is>
      </c>
      <c r="D18" s="17" t="inlineStr">
        <is>
          <t>PM</t>
        </is>
      </c>
      <c r="E18" s="18" t="n">
        <v>46279</v>
      </c>
      <c r="F18" s="19" t="n">
        <v>46346</v>
      </c>
      <c r="G18" s="17">
        <f>IF(OR(E18="",F18=""),"",NETWORKDAYS(E18,F18))</f>
        <v/>
      </c>
      <c r="H18" s="20" t="n">
        <v>0</v>
      </c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  <c r="AL18" s="23" t="n"/>
      <c r="AM18" s="23" t="n"/>
      <c r="AN18" s="23" t="n"/>
      <c r="AO18" s="23" t="n"/>
      <c r="AP18" s="23" t="n"/>
      <c r="AQ18" s="23" t="n"/>
      <c r="AR18" s="23" t="n"/>
      <c r="AS18" s="23" t="n"/>
      <c r="AT18" s="23" t="n"/>
      <c r="AU18" s="23" t="n"/>
      <c r="AV18" s="23" t="n"/>
      <c r="AW18" s="23" t="n"/>
      <c r="AX18" s="23" t="n"/>
      <c r="AY18" s="23" t="n"/>
      <c r="AZ18" s="23" t="n"/>
      <c r="BA18" s="23" t="n"/>
      <c r="BB18" s="23" t="n"/>
      <c r="BC18" s="23" t="n"/>
      <c r="BD18" s="23" t="n"/>
      <c r="BE18" s="23" t="n"/>
      <c r="BF18" s="23" t="n"/>
      <c r="BG18" s="23" t="n"/>
      <c r="BH18" s="23" t="n"/>
      <c r="BI18" s="23" t="n"/>
      <c r="BJ18" s="23" t="n"/>
      <c r="BK18" s="23" t="n"/>
      <c r="BL18" s="23" t="n"/>
      <c r="BM18" s="23" t="n"/>
      <c r="BN18" s="23" t="n"/>
      <c r="BO18" s="23" t="n"/>
      <c r="BP18" s="23" t="n"/>
    </row>
    <row r="19" ht="19.5" customHeight="1">
      <c r="B19" s="15" t="inlineStr">
        <is>
          <t>1.9</t>
        </is>
      </c>
      <c r="C19" s="16" t="inlineStr">
        <is>
          <t>Cập nhật Burndown, Weekly Status Report và chỉ số EVM (PV, EV, AC, SPI, CPI) hằng tuần</t>
        </is>
      </c>
      <c r="D19" s="17" t="inlineStr">
        <is>
          <t>PM</t>
        </is>
      </c>
      <c r="E19" s="18" t="n">
        <v>46279</v>
      </c>
      <c r="F19" s="19" t="n">
        <v>46346</v>
      </c>
      <c r="G19" s="17">
        <f>IF(OR(E19="",F19=""),"",NETWORKDAYS(E19,F19))</f>
        <v/>
      </c>
      <c r="H19" s="20" t="n">
        <v>0</v>
      </c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  <c r="AL19" s="23" t="n"/>
      <c r="AM19" s="23" t="n"/>
      <c r="AN19" s="23" t="n"/>
      <c r="AO19" s="23" t="n"/>
      <c r="AP19" s="23" t="n"/>
      <c r="AQ19" s="23" t="n"/>
      <c r="AR19" s="23" t="n"/>
      <c r="AS19" s="23" t="n"/>
      <c r="AT19" s="23" t="n"/>
      <c r="AU19" s="23" t="n"/>
      <c r="AV19" s="23" t="n"/>
      <c r="AW19" s="23" t="n"/>
      <c r="AX19" s="23" t="n"/>
      <c r="AY19" s="23" t="n"/>
      <c r="AZ19" s="23" t="n"/>
      <c r="BA19" s="23" t="n"/>
      <c r="BB19" s="23" t="n"/>
      <c r="BC19" s="23" t="n"/>
      <c r="BD19" s="23" t="n"/>
      <c r="BE19" s="23" t="n"/>
      <c r="BF19" s="23" t="n"/>
      <c r="BG19" s="23" t="n"/>
      <c r="BH19" s="23" t="n"/>
      <c r="BI19" s="23" t="n"/>
      <c r="BJ19" s="23" t="n"/>
      <c r="BK19" s="23" t="n"/>
      <c r="BL19" s="23" t="n"/>
      <c r="BM19" s="23" t="n"/>
      <c r="BN19" s="23" t="n"/>
      <c r="BO19" s="23" t="n"/>
      <c r="BP19" s="23" t="n"/>
    </row>
    <row r="20" ht="19.5" customHeight="1">
      <c r="B20" s="15" t="inlineStr">
        <is>
          <t>1.10</t>
        </is>
      </c>
      <c r="C20" s="16" t="inlineStr">
        <is>
          <t>Viết báo cáo tổng kết, lessons learned và bàn giao hồ sơ dự án</t>
        </is>
      </c>
      <c r="D20" s="17" t="inlineStr">
        <is>
          <t>PM</t>
        </is>
      </c>
      <c r="E20" s="18" t="n">
        <v>46344</v>
      </c>
      <c r="F20" s="19" t="n">
        <v>46346</v>
      </c>
      <c r="G20" s="17">
        <f>IF(OR(E20="",F20=""),"",NETWORKDAYS(E20,F20))</f>
        <v/>
      </c>
      <c r="H20" s="20" t="n">
        <v>0</v>
      </c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3" t="n"/>
      <c r="BO20" s="23" t="n"/>
      <c r="BP20" s="23" t="n"/>
    </row>
    <row r="21" ht="19.5" customHeight="1">
      <c r="B21" s="9" t="inlineStr">
        <is>
          <t>2</t>
        </is>
      </c>
      <c r="C21" s="10" t="inlineStr">
        <is>
          <t>Phân tích nghiệp vụ và đặc tả yêu cầu</t>
        </is>
      </c>
      <c r="D21" s="11" t="inlineStr">
        <is>
          <t>BA</t>
        </is>
      </c>
      <c r="E21" s="12" t="n">
        <v>46265</v>
      </c>
      <c r="F21" s="12" t="n">
        <v>46332</v>
      </c>
      <c r="G21" s="11">
        <f>IF(OR(E21="",F21=""),"",NETWORKDAYS(E21,F21))</f>
        <v/>
      </c>
      <c r="H21" s="13" t="n">
        <v>0</v>
      </c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  <c r="BA21" s="14" t="n"/>
      <c r="BB21" s="14" t="n"/>
      <c r="BC21" s="14" t="n"/>
      <c r="BD21" s="14" t="n"/>
      <c r="BE21" s="14" t="n"/>
      <c r="BF21" s="14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</row>
    <row r="22" ht="19.5" customHeight="1">
      <c r="B22" s="15" t="inlineStr">
        <is>
          <t>2.1</t>
        </is>
      </c>
      <c r="C22" s="16" t="inlineStr">
        <is>
          <t>Khảo sát quy trình thực tập: phỏng vấn giả lập Admin (HR), Mentor, Intern</t>
        </is>
      </c>
      <c r="D22" s="17" t="inlineStr">
        <is>
          <t>BA</t>
        </is>
      </c>
      <c r="E22" s="18" t="n">
        <v>46265</v>
      </c>
      <c r="F22" s="19" t="n">
        <v>46266</v>
      </c>
      <c r="G22" s="17">
        <f>IF(OR(E22="",F22=""),"",NETWORKDAYS(E22,F22))</f>
        <v/>
      </c>
      <c r="H22" s="20" t="n">
        <v>0</v>
      </c>
      <c r="I22" s="23" t="n"/>
      <c r="J22" s="23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</row>
    <row r="23" ht="19.5" customHeight="1">
      <c r="B23" s="15" t="inlineStr">
        <is>
          <t>2.2</t>
        </is>
      </c>
      <c r="C23" s="16" t="inlineStr">
        <is>
          <t>Viết đặc tả 30 yêu cầu chức năng FR-01..FR-30 vào tài liệu SRS</t>
        </is>
      </c>
      <c r="D23" s="17" t="inlineStr">
        <is>
          <t>BA</t>
        </is>
      </c>
      <c r="E23" s="18" t="n">
        <v>46266</v>
      </c>
      <c r="F23" s="19" t="n">
        <v>46268</v>
      </c>
      <c r="G23" s="17">
        <f>IF(OR(E23="",F23=""),"",NETWORKDAYS(E23,F23))</f>
        <v/>
      </c>
      <c r="H23" s="20" t="n">
        <v>0</v>
      </c>
      <c r="I23" s="22" t="n"/>
      <c r="J23" s="21" t="n"/>
      <c r="K23" s="21" t="n"/>
      <c r="L23" s="21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</row>
    <row r="24" ht="19.5" customHeight="1">
      <c r="B24" s="15" t="inlineStr">
        <is>
          <t>2.3</t>
        </is>
      </c>
      <c r="C24" s="16" t="inlineStr">
        <is>
          <t>Viết 10 yêu cầu phi chức năng NFR-01..NFR-10 kèm ngưỡng đo được</t>
        </is>
      </c>
      <c r="D24" s="17" t="inlineStr">
        <is>
          <t>BA</t>
        </is>
      </c>
      <c r="E24" s="18" t="n">
        <v>46268</v>
      </c>
      <c r="F24" s="19" t="n">
        <v>46269</v>
      </c>
      <c r="G24" s="17">
        <f>IF(OR(E24="",F24=""),"",NETWORKDAYS(E24,F24))</f>
        <v/>
      </c>
      <c r="H24" s="20" t="n">
        <v>0</v>
      </c>
      <c r="I24" s="22" t="n"/>
      <c r="J24" s="22" t="n"/>
      <c r="K24" s="22" t="n"/>
      <c r="L24" s="23" t="n"/>
      <c r="M24" s="23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</row>
    <row r="25" ht="19.5" customHeight="1">
      <c r="B25" s="15" t="inlineStr">
        <is>
          <t>2.4</t>
        </is>
      </c>
      <c r="C25" s="16" t="inlineStr">
        <is>
          <t>Viết 15 Business Rule BR-01..BR-15 cho đăng ký, phân Mentor, chấm công, báo cáo, đánh giá</t>
        </is>
      </c>
      <c r="D25" s="17" t="inlineStr">
        <is>
          <t>BA</t>
        </is>
      </c>
      <c r="E25" s="18" t="n">
        <v>46269</v>
      </c>
      <c r="F25" s="19" t="n">
        <v>46272</v>
      </c>
      <c r="G25" s="17">
        <f>IF(OR(E25="",F25=""),"",NETWORKDAYS(E25,F25))</f>
        <v/>
      </c>
      <c r="H25" s="20" t="n">
        <v>0</v>
      </c>
      <c r="I25" s="22" t="n"/>
      <c r="J25" s="22" t="n"/>
      <c r="K25" s="22" t="n"/>
      <c r="L25" s="22" t="n"/>
      <c r="M25" s="23" t="n"/>
      <c r="N25" s="23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</row>
    <row r="26" ht="19.5" customHeight="1">
      <c r="B26" s="15" t="inlineStr">
        <is>
          <t>2.5</t>
        </is>
      </c>
      <c r="C26" s="16" t="inlineStr">
        <is>
          <t>Vẽ Use Case Diagram 3 actor và đặc tả 12 Use Case UC-01..UC-12</t>
        </is>
      </c>
      <c r="D26" s="17" t="inlineStr">
        <is>
          <t>BA</t>
        </is>
      </c>
      <c r="E26" s="18" t="n">
        <v>46272</v>
      </c>
      <c r="F26" s="19" t="n">
        <v>46273</v>
      </c>
      <c r="G26" s="17">
        <f>IF(OR(E26="",F26=""),"",NETWORKDAYS(E26,F26))</f>
        <v/>
      </c>
      <c r="H26" s="20" t="n">
        <v>0</v>
      </c>
      <c r="I26" s="22" t="n"/>
      <c r="J26" s="22" t="n"/>
      <c r="K26" s="22" t="n"/>
      <c r="L26" s="22" t="n"/>
      <c r="M26" s="22" t="n"/>
      <c r="N26" s="23" t="n"/>
      <c r="O26" s="23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</row>
    <row r="27" ht="19.5" customHeight="1">
      <c r="B27" s="15" t="inlineStr">
        <is>
          <t>2.6</t>
        </is>
      </c>
      <c r="C27" s="16" t="inlineStr">
        <is>
          <t>Vẽ Activity Diagram luồng thực tập và State Diagram cho hồ sơ Intern và Task</t>
        </is>
      </c>
      <c r="D27" s="17" t="inlineStr">
        <is>
          <t>BA</t>
        </is>
      </c>
      <c r="E27" s="18" t="n">
        <v>46273</v>
      </c>
      <c r="F27" s="19" t="n">
        <v>46274</v>
      </c>
      <c r="G27" s="17">
        <f>IF(OR(E27="",F27=""),"",NETWORKDAYS(E27,F27))</f>
        <v/>
      </c>
      <c r="H27" s="20" t="n">
        <v>0</v>
      </c>
      <c r="I27" s="22" t="n"/>
      <c r="J27" s="22" t="n"/>
      <c r="K27" s="22" t="n"/>
      <c r="L27" s="22" t="n"/>
      <c r="M27" s="22" t="n"/>
      <c r="N27" s="22" t="n"/>
      <c r="O27" s="23" t="n"/>
      <c r="P27" s="23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</row>
    <row r="28" ht="19.5" customHeight="1">
      <c r="B28" s="15" t="inlineStr">
        <is>
          <t>2.7</t>
        </is>
      </c>
      <c r="C28" s="16" t="inlineStr">
        <is>
          <t>Viết 16 User Story US-01..US-16 kèm Acceptance Criteria dạng Given - When - Then</t>
        </is>
      </c>
      <c r="D28" s="17" t="inlineStr">
        <is>
          <t>BA</t>
        </is>
      </c>
      <c r="E28" s="18" t="n">
        <v>46273</v>
      </c>
      <c r="F28" s="19" t="n">
        <v>46275</v>
      </c>
      <c r="G28" s="17">
        <f>IF(OR(E28="",F28=""),"",NETWORKDAYS(E28,F28))</f>
        <v/>
      </c>
      <c r="H28" s="20" t="n">
        <v>0</v>
      </c>
      <c r="I28" s="22" t="n"/>
      <c r="J28" s="22" t="n"/>
      <c r="K28" s="22" t="n"/>
      <c r="L28" s="22" t="n"/>
      <c r="M28" s="22" t="n"/>
      <c r="N28" s="22" t="n"/>
      <c r="O28" s="21" t="n"/>
      <c r="P28" s="21" t="n"/>
      <c r="Q28" s="21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</row>
    <row r="29" ht="19.5" customHeight="1">
      <c r="B29" s="15" t="inlineStr">
        <is>
          <t>2.8</t>
        </is>
      </c>
      <c r="C29" s="16" t="inlineStr">
        <is>
          <t>Lập ma trận truy vết RTM nối FR - User Story - API/UI - Test Case</t>
        </is>
      </c>
      <c r="D29" s="17" t="inlineStr">
        <is>
          <t>BA</t>
        </is>
      </c>
      <c r="E29" s="18" t="n">
        <v>46275</v>
      </c>
      <c r="F29" s="19" t="n">
        <v>46276</v>
      </c>
      <c r="G29" s="17">
        <f>IF(OR(E29="",F29=""),"",NETWORKDAYS(E29,F29))</f>
        <v/>
      </c>
      <c r="H29" s="20" t="n">
        <v>0</v>
      </c>
      <c r="I29" s="22" t="n"/>
      <c r="J29" s="22" t="n"/>
      <c r="K29" s="22" t="n"/>
      <c r="L29" s="22" t="n"/>
      <c r="M29" s="22" t="n"/>
      <c r="N29" s="22" t="n"/>
      <c r="O29" s="22" t="n"/>
      <c r="P29" s="22" t="n"/>
      <c r="Q29" s="23" t="n"/>
      <c r="R29" s="23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2" t="n"/>
      <c r="BE29" s="22" t="n"/>
      <c r="BF29" s="22" t="n"/>
      <c r="BG29" s="22" t="n"/>
      <c r="BH29" s="22" t="n"/>
      <c r="BI29" s="22" t="n"/>
      <c r="BJ29" s="22" t="n"/>
      <c r="BK29" s="22" t="n"/>
      <c r="BL29" s="22" t="n"/>
      <c r="BM29" s="22" t="n"/>
      <c r="BN29" s="22" t="n"/>
      <c r="BO29" s="22" t="n"/>
      <c r="BP29" s="22" t="n"/>
    </row>
    <row r="30" ht="19.5" customHeight="1">
      <c r="B30" s="15" t="inlineStr">
        <is>
          <t>2.9</t>
        </is>
      </c>
      <c r="C30" s="16" t="inlineStr">
        <is>
          <t>Cập nhật RTM và Acceptance Criteria sau mỗi Change Request được duyệt</t>
        </is>
      </c>
      <c r="D30" s="17" t="inlineStr">
        <is>
          <t>BA</t>
        </is>
      </c>
      <c r="E30" s="18" t="n">
        <v>46279</v>
      </c>
      <c r="F30" s="19" t="n">
        <v>46332</v>
      </c>
      <c r="G30" s="17">
        <f>IF(OR(E30="",F30=""),"",NETWORKDAYS(E30,F30))</f>
        <v/>
      </c>
      <c r="H30" s="20" t="n">
        <v>0</v>
      </c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n"/>
      <c r="AK30" s="23" t="n"/>
      <c r="AL30" s="23" t="n"/>
      <c r="AM30" s="23" t="n"/>
      <c r="AN30" s="23" t="n"/>
      <c r="AO30" s="23" t="n"/>
      <c r="AP30" s="23" t="n"/>
      <c r="AQ30" s="23" t="n"/>
      <c r="AR30" s="23" t="n"/>
      <c r="AS30" s="23" t="n"/>
      <c r="AT30" s="23" t="n"/>
      <c r="AU30" s="23" t="n"/>
      <c r="AV30" s="23" t="n"/>
      <c r="AW30" s="23" t="n"/>
      <c r="AX30" s="23" t="n"/>
      <c r="AY30" s="23" t="n"/>
      <c r="AZ30" s="23" t="n"/>
      <c r="BA30" s="23" t="n"/>
      <c r="BB30" s="23" t="n"/>
      <c r="BC30" s="23" t="n"/>
      <c r="BD30" s="23" t="n"/>
      <c r="BE30" s="23" t="n"/>
      <c r="BF30" s="23" t="n"/>
      <c r="BG30" s="22" t="n"/>
      <c r="BH30" s="22" t="n"/>
      <c r="BI30" s="22" t="n"/>
      <c r="BJ30" s="22" t="n"/>
      <c r="BK30" s="22" t="n"/>
      <c r="BL30" s="22" t="n"/>
      <c r="BM30" s="22" t="n"/>
      <c r="BN30" s="22" t="n"/>
      <c r="BO30" s="22" t="n"/>
      <c r="BP30" s="22" t="n"/>
    </row>
    <row r="31" ht="19.5" customHeight="1">
      <c r="B31" s="9" t="inlineStr">
        <is>
          <t>3</t>
        </is>
      </c>
      <c r="C31" s="10" t="inlineStr">
        <is>
          <t>Thiết kế hệ thống</t>
        </is>
      </c>
      <c r="D31" s="11" t="inlineStr">
        <is>
          <t>BE</t>
        </is>
      </c>
      <c r="E31" s="12" t="n">
        <v>46268</v>
      </c>
      <c r="F31" s="12" t="n">
        <v>46276</v>
      </c>
      <c r="G31" s="11">
        <f>IF(OR(E31="",F31=""),"",NETWORKDAYS(E31,F31))</f>
        <v/>
      </c>
      <c r="H31" s="13" t="n">
        <v>0</v>
      </c>
      <c r="I31" s="22" t="n"/>
      <c r="J31" s="22" t="n"/>
      <c r="K31" s="22" t="n"/>
      <c r="L31" s="14" t="n"/>
      <c r="M31" s="14" t="n"/>
      <c r="N31" s="14" t="n"/>
      <c r="O31" s="14" t="n"/>
      <c r="P31" s="14" t="n"/>
      <c r="Q31" s="14" t="n"/>
      <c r="R31" s="14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2" t="n"/>
      <c r="AV31" s="22" t="n"/>
      <c r="AW31" s="22" t="n"/>
      <c r="AX31" s="22" t="n"/>
      <c r="AY31" s="22" t="n"/>
      <c r="AZ31" s="22" t="n"/>
      <c r="BA31" s="22" t="n"/>
      <c r="BB31" s="22" t="n"/>
      <c r="BC31" s="22" t="n"/>
      <c r="BD31" s="22" t="n"/>
      <c r="BE31" s="22" t="n"/>
      <c r="BF31" s="22" t="n"/>
      <c r="BG31" s="22" t="n"/>
      <c r="BH31" s="22" t="n"/>
      <c r="BI31" s="22" t="n"/>
      <c r="BJ31" s="22" t="n"/>
      <c r="BK31" s="22" t="n"/>
      <c r="BL31" s="22" t="n"/>
      <c r="BM31" s="22" t="n"/>
      <c r="BN31" s="22" t="n"/>
      <c r="BO31" s="22" t="n"/>
      <c r="BP31" s="22" t="n"/>
    </row>
    <row r="32" ht="19.5" customHeight="1">
      <c r="B32" s="15" t="inlineStr">
        <is>
          <t>3.1</t>
        </is>
      </c>
      <c r="C32" s="16" t="inlineStr">
        <is>
          <t>Vẽ sitemap 3 role và luồng chuyển màn hình cho 12 giao diện UI-01..UI-12</t>
        </is>
      </c>
      <c r="D32" s="17" t="inlineStr">
        <is>
          <t>FE</t>
        </is>
      </c>
      <c r="E32" s="18" t="n">
        <v>46268</v>
      </c>
      <c r="F32" s="19" t="n">
        <v>46272</v>
      </c>
      <c r="G32" s="17">
        <f>IF(OR(E32="",F32=""),"",NETWORKDAYS(E32,F32))</f>
        <v/>
      </c>
      <c r="H32" s="20" t="n">
        <v>0</v>
      </c>
      <c r="I32" s="22" t="n"/>
      <c r="J32" s="22" t="n"/>
      <c r="K32" s="22" t="n"/>
      <c r="L32" s="23" t="n"/>
      <c r="M32" s="23" t="n"/>
      <c r="N32" s="23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</row>
    <row r="33" ht="19.5" customHeight="1">
      <c r="B33" s="15" t="inlineStr">
        <is>
          <t>3.2</t>
        </is>
      </c>
      <c r="C33" s="16" t="inlineStr">
        <is>
          <t>Vẽ wireframe Figma: Login, Dashboard, Intern List/Detail, Task, Weekly Report, Evaluation</t>
        </is>
      </c>
      <c r="D33" s="17" t="inlineStr">
        <is>
          <t>FE</t>
        </is>
      </c>
      <c r="E33" s="18" t="n">
        <v>46272</v>
      </c>
      <c r="F33" s="19" t="n">
        <v>46274</v>
      </c>
      <c r="G33" s="17">
        <f>IF(OR(E33="",F33=""),"",NETWORKDAYS(E33,F33))</f>
        <v/>
      </c>
      <c r="H33" s="20" t="n">
        <v>0</v>
      </c>
      <c r="I33" s="22" t="n"/>
      <c r="J33" s="22" t="n"/>
      <c r="K33" s="22" t="n"/>
      <c r="L33" s="22" t="n"/>
      <c r="M33" s="22" t="n"/>
      <c r="N33" s="23" t="n"/>
      <c r="O33" s="23" t="n"/>
      <c r="P33" s="23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</row>
    <row r="34" ht="19.5" customHeight="1">
      <c r="B34" s="15" t="inlineStr">
        <is>
          <t>3.3</t>
        </is>
      </c>
      <c r="C34" s="16" t="inlineStr">
        <is>
          <t>Chốt kiến trúc: React SPA + Spring Boot REST 3 lớp Controller - Service - Repository</t>
        </is>
      </c>
      <c r="D34" s="17" t="inlineStr">
        <is>
          <t>BE</t>
        </is>
      </c>
      <c r="E34" s="18" t="n">
        <v>46272</v>
      </c>
      <c r="F34" s="19" t="n">
        <v>46273</v>
      </c>
      <c r="G34" s="17">
        <f>IF(OR(E34="",F34=""),"",NETWORKDAYS(E34,F34))</f>
        <v/>
      </c>
      <c r="H34" s="20" t="n">
        <v>0</v>
      </c>
      <c r="I34" s="22" t="n"/>
      <c r="J34" s="22" t="n"/>
      <c r="K34" s="22" t="n"/>
      <c r="L34" s="22" t="n"/>
      <c r="M34" s="22" t="n"/>
      <c r="N34" s="23" t="n"/>
      <c r="O34" s="23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</row>
    <row r="35" ht="19.5" customHeight="1">
      <c r="B35" s="15" t="inlineStr">
        <is>
          <t>3.4</t>
        </is>
      </c>
      <c r="C35" s="16" t="inlineStr">
        <is>
          <t>Thiết kế ERD 12 bảng MySQL, khóa ngoại, ràng buộc UNIQUE và index</t>
        </is>
      </c>
      <c r="D35" s="17" t="inlineStr">
        <is>
          <t>BE</t>
        </is>
      </c>
      <c r="E35" s="18" t="n">
        <v>46273</v>
      </c>
      <c r="F35" s="19" t="n">
        <v>46275</v>
      </c>
      <c r="G35" s="17">
        <f>IF(OR(E35="",F35=""),"",NETWORKDAYS(E35,F35))</f>
        <v/>
      </c>
      <c r="H35" s="20" t="n">
        <v>0</v>
      </c>
      <c r="I35" s="22" t="n"/>
      <c r="J35" s="22" t="n"/>
      <c r="K35" s="22" t="n"/>
      <c r="L35" s="22" t="n"/>
      <c r="M35" s="22" t="n"/>
      <c r="N35" s="22" t="n"/>
      <c r="O35" s="23" t="n"/>
      <c r="P35" s="23" t="n"/>
      <c r="Q35" s="23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</row>
    <row r="36" ht="19.5" customHeight="1">
      <c r="B36" s="15" t="inlineStr">
        <is>
          <t>3.5</t>
        </is>
      </c>
      <c r="C36" s="16" t="inlineStr">
        <is>
          <t>Đặc tả 36 endpoint /api/v1 bằng OpenAPI kèm DTO và bảng mã lỗi 400/401/403/404/409</t>
        </is>
      </c>
      <c r="D36" s="17" t="inlineStr">
        <is>
          <t>BE</t>
        </is>
      </c>
      <c r="E36" s="18" t="n">
        <v>46274</v>
      </c>
      <c r="F36" s="19" t="n">
        <v>46276</v>
      </c>
      <c r="G36" s="17">
        <f>IF(OR(E36="",F36=""),"",NETWORKDAYS(E36,F36))</f>
        <v/>
      </c>
      <c r="H36" s="20" t="n">
        <v>0</v>
      </c>
      <c r="I36" s="22" t="n"/>
      <c r="J36" s="22" t="n"/>
      <c r="K36" s="22" t="n"/>
      <c r="L36" s="22" t="n"/>
      <c r="M36" s="22" t="n"/>
      <c r="N36" s="22" t="n"/>
      <c r="O36" s="22" t="n"/>
      <c r="P36" s="21" t="n"/>
      <c r="Q36" s="21" t="n"/>
      <c r="R36" s="21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</row>
    <row r="37" ht="19.5" customHeight="1">
      <c r="B37" s="15" t="inlineStr">
        <is>
          <t>3.6</t>
        </is>
      </c>
      <c r="C37" s="16" t="inlineStr">
        <is>
          <t>Đối chiếu thiết kế UI-01..UI-12 và API với FR-01..FR-30, BR-01..BR-15</t>
        </is>
      </c>
      <c r="D37" s="17" t="inlineStr">
        <is>
          <t>BA</t>
        </is>
      </c>
      <c r="E37" s="18" t="n">
        <v>46275</v>
      </c>
      <c r="F37" s="19" t="n">
        <v>46276</v>
      </c>
      <c r="G37" s="17">
        <f>IF(OR(E37="",F37=""),"",NETWORKDAYS(E37,F37))</f>
        <v/>
      </c>
      <c r="H37" s="20" t="n">
        <v>0</v>
      </c>
      <c r="I37" s="22" t="n"/>
      <c r="J37" s="22" t="n"/>
      <c r="K37" s="22" t="n"/>
      <c r="L37" s="22" t="n"/>
      <c r="M37" s="22" t="n"/>
      <c r="N37" s="22" t="n"/>
      <c r="O37" s="22" t="n"/>
      <c r="P37" s="22" t="n"/>
      <c r="Q37" s="23" t="n"/>
      <c r="R37" s="23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</row>
    <row r="38" ht="19.5" customHeight="1">
      <c r="B38" s="15" t="inlineStr">
        <is>
          <t>3.7</t>
        </is>
      </c>
      <c r="C38" s="16" t="inlineStr">
        <is>
          <t>Rà soát chéo toàn bộ thiết kế và ký duyệt Design Baseline</t>
        </is>
      </c>
      <c r="D38" s="17" t="inlineStr">
        <is>
          <t>PM</t>
        </is>
      </c>
      <c r="E38" s="18" t="n">
        <v>46276</v>
      </c>
      <c r="F38" s="19" t="n">
        <v>46276</v>
      </c>
      <c r="G38" s="17">
        <f>IF(OR(E38="",F38=""),"",NETWORKDAYS(E38,F38))</f>
        <v/>
      </c>
      <c r="H38" s="20" t="n">
        <v>0</v>
      </c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3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</row>
    <row r="39" ht="19.5" customHeight="1">
      <c r="B39" s="9" t="inlineStr">
        <is>
          <t>4</t>
        </is>
      </c>
      <c r="C39" s="10" t="inlineStr">
        <is>
          <t>Thiết lập hạ tầng và môi trường</t>
        </is>
      </c>
      <c r="D39" s="11" t="inlineStr">
        <is>
          <t>BE</t>
        </is>
      </c>
      <c r="E39" s="12" t="n">
        <v>46265</v>
      </c>
      <c r="F39" s="12" t="n">
        <v>46281</v>
      </c>
      <c r="G39" s="11">
        <f>IF(OR(E39="",F39=""),"",NETWORKDAYS(E39,F39))</f>
        <v/>
      </c>
      <c r="H39" s="13" t="n">
        <v>0</v>
      </c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</row>
    <row r="40" ht="19.5" customHeight="1">
      <c r="B40" s="15" t="inlineStr">
        <is>
          <t>4.1</t>
        </is>
      </c>
      <c r="C40" s="16" t="inlineStr">
        <is>
          <t>Tạo GitHub repository, bảo vệ nhánh main/develop, quy ước Git Flow và Pull Request</t>
        </is>
      </c>
      <c r="D40" s="17" t="inlineStr">
        <is>
          <t>BE</t>
        </is>
      </c>
      <c r="E40" s="18" t="n">
        <v>46265</v>
      </c>
      <c r="F40" s="19" t="n">
        <v>46266</v>
      </c>
      <c r="G40" s="17">
        <f>IF(OR(E40="",F40=""),"",NETWORKDAYS(E40,F40))</f>
        <v/>
      </c>
      <c r="H40" s="20" t="n">
        <v>0</v>
      </c>
      <c r="I40" s="23" t="n"/>
      <c r="J40" s="23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</row>
    <row r="41" ht="19.5" customHeight="1">
      <c r="B41" s="15" t="inlineStr">
        <is>
          <t>4.2</t>
        </is>
      </c>
      <c r="C41" s="16" t="inlineStr">
        <is>
          <t>Kết nối Jira với GitHub (GitHub for Jira), quy ước commit/branch chứa mã IMS-xx</t>
        </is>
      </c>
      <c r="D41" s="17" t="inlineStr">
        <is>
          <t>BE</t>
        </is>
      </c>
      <c r="E41" s="18" t="n">
        <v>46266</v>
      </c>
      <c r="F41" s="19" t="n">
        <v>46267</v>
      </c>
      <c r="G41" s="17">
        <f>IF(OR(E41="",F41=""),"",NETWORKDAYS(E41,F41))</f>
        <v/>
      </c>
      <c r="H41" s="20" t="n">
        <v>0</v>
      </c>
      <c r="I41" s="22" t="n"/>
      <c r="J41" s="23" t="n"/>
      <c r="K41" s="23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</row>
    <row r="42" ht="19.5" customHeight="1">
      <c r="B42" s="15" t="inlineStr">
        <is>
          <t>4.3</t>
        </is>
      </c>
      <c r="C42" s="16" t="inlineStr">
        <is>
          <t>Viết docker-compose.yml cho MySQL 8, backend, frontend và phpMyAdmin</t>
        </is>
      </c>
      <c r="D42" s="17" t="inlineStr">
        <is>
          <t>BE</t>
        </is>
      </c>
      <c r="E42" s="18" t="n">
        <v>46268</v>
      </c>
      <c r="F42" s="19" t="n">
        <v>46269</v>
      </c>
      <c r="G42" s="17">
        <f>IF(OR(E42="",F42=""),"",NETWORKDAYS(E42,F42))</f>
        <v/>
      </c>
      <c r="H42" s="20" t="n">
        <v>0</v>
      </c>
      <c r="I42" s="22" t="n"/>
      <c r="J42" s="22" t="n"/>
      <c r="K42" s="22" t="n"/>
      <c r="L42" s="23" t="n"/>
      <c r="M42" s="23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</row>
    <row r="43" ht="19.5" customHeight="1">
      <c r="B43" s="15" t="inlineStr">
        <is>
          <t>4.4</t>
        </is>
      </c>
      <c r="C43" s="16" t="inlineStr">
        <is>
          <t>Khởi tạo Spring Boot 3: cấu trúc package, Spring Data JPA, migration Flyway V1</t>
        </is>
      </c>
      <c r="D43" s="17" t="inlineStr">
        <is>
          <t>BE</t>
        </is>
      </c>
      <c r="E43" s="18" t="n">
        <v>46274</v>
      </c>
      <c r="F43" s="19" t="n">
        <v>46276</v>
      </c>
      <c r="G43" s="17">
        <f>IF(OR(E43="",F43=""),"",NETWORKDAYS(E43,F43))</f>
        <v/>
      </c>
      <c r="H43" s="20" t="n">
        <v>0</v>
      </c>
      <c r="I43" s="22" t="n"/>
      <c r="J43" s="22" t="n"/>
      <c r="K43" s="22" t="n"/>
      <c r="L43" s="22" t="n"/>
      <c r="M43" s="22" t="n"/>
      <c r="N43" s="22" t="n"/>
      <c r="O43" s="22" t="n"/>
      <c r="P43" s="23" t="n"/>
      <c r="Q43" s="23" t="n"/>
      <c r="R43" s="23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</row>
    <row r="44" ht="19.5" customHeight="1">
      <c r="B44" s="15" t="inlineStr">
        <is>
          <t>4.5</t>
        </is>
      </c>
      <c r="C44" s="16" t="inlineStr">
        <is>
          <t>Khởi tạo React + Vite + Tailwind: router, layout, axios interceptor, xử lý lỗi tập trung</t>
        </is>
      </c>
      <c r="D44" s="17" t="inlineStr">
        <is>
          <t>FE</t>
        </is>
      </c>
      <c r="E44" s="18" t="n">
        <v>46279</v>
      </c>
      <c r="F44" s="19" t="n">
        <v>46280</v>
      </c>
      <c r="G44" s="17">
        <f>IF(OR(E44="",F44=""),"",NETWORKDAYS(E44,F44))</f>
        <v/>
      </c>
      <c r="H44" s="20" t="n">
        <v>0</v>
      </c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3" t="n"/>
      <c r="T44" s="23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</row>
    <row r="45" ht="19.5" customHeight="1">
      <c r="B45" s="15" t="inlineStr">
        <is>
          <t>4.6</t>
        </is>
      </c>
      <c r="C45" s="16" t="inlineStr">
        <is>
          <t>Cấu hình GitHub Actions: build, unit test và lint cho mỗi Pull Request</t>
        </is>
      </c>
      <c r="D45" s="17" t="inlineStr">
        <is>
          <t>BE</t>
        </is>
      </c>
      <c r="E45" s="18" t="n">
        <v>46279</v>
      </c>
      <c r="F45" s="19" t="n">
        <v>46281</v>
      </c>
      <c r="G45" s="17">
        <f>IF(OR(E45="",F45=""),"",NETWORKDAYS(E45,F45))</f>
        <v/>
      </c>
      <c r="H45" s="20" t="n">
        <v>0</v>
      </c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3" t="n"/>
      <c r="T45" s="23" t="n"/>
      <c r="U45" s="23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</row>
    <row r="46" ht="19.5" customHeight="1">
      <c r="B46" s="9" t="inlineStr">
        <is>
          <t>5</t>
        </is>
      </c>
      <c r="C46" s="10" t="inlineStr">
        <is>
          <t>Sprint 1 - Đăng nhập, phân quyền, tài khoản và phòng ban</t>
        </is>
      </c>
      <c r="D46" s="11" t="inlineStr">
        <is>
          <t>PM</t>
        </is>
      </c>
      <c r="E46" s="12" t="n">
        <v>46279</v>
      </c>
      <c r="F46" s="12" t="n">
        <v>46290</v>
      </c>
      <c r="G46" s="11">
        <f>IF(OR(E46="",F46=""),"",NETWORKDAYS(E46,F46))</f>
        <v/>
      </c>
      <c r="H46" s="13" t="n">
        <v>0</v>
      </c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</row>
    <row r="47" ht="19.5" customHeight="1">
      <c r="B47" s="15" t="inlineStr">
        <is>
          <t>5.1</t>
        </is>
      </c>
      <c r="C47" s="16" t="inlineStr">
        <is>
          <t>Chốt Acceptance Criteria US-01..US-04 và ma trận quyền 3 role trước Sprint Planning</t>
        </is>
      </c>
      <c r="D47" s="17" t="inlineStr">
        <is>
          <t>BA</t>
        </is>
      </c>
      <c r="E47" s="18" t="n">
        <v>46279</v>
      </c>
      <c r="F47" s="19" t="n">
        <v>46280</v>
      </c>
      <c r="G47" s="17">
        <f>IF(OR(E47="",F47=""),"",NETWORKDAYS(E47,F47))</f>
        <v/>
      </c>
      <c r="H47" s="20" t="n">
        <v>0</v>
      </c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3" t="n"/>
      <c r="T47" s="23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</row>
    <row r="48" ht="19.5" customHeight="1">
      <c r="B48" s="15" t="inlineStr">
        <is>
          <t>5.2</t>
        </is>
      </c>
      <c r="C48" s="16" t="inlineStr">
        <is>
          <t>Viết API POST /auth/login, /auth/logout, GET /auth/me phát hành JWT (US-01)</t>
        </is>
      </c>
      <c r="D48" s="17" t="inlineStr">
        <is>
          <t>BE</t>
        </is>
      </c>
      <c r="E48" s="18" t="n">
        <v>46279</v>
      </c>
      <c r="F48" s="19" t="n">
        <v>46281</v>
      </c>
      <c r="G48" s="17">
        <f>IF(OR(E48="",F48=""),"",NETWORKDAYS(E48,F48))</f>
        <v/>
      </c>
      <c r="H48" s="20" t="n">
        <v>0</v>
      </c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1" t="n"/>
      <c r="T48" s="21" t="n"/>
      <c r="U48" s="21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</row>
    <row r="49" ht="19.5" customHeight="1">
      <c r="B49" s="15" t="inlineStr">
        <is>
          <t>5.3</t>
        </is>
      </c>
      <c r="C49" s="16" t="inlineStr">
        <is>
          <t>Dựng màn hình đăng nhập UI-01, lưu token và điều hướng theo role (US-01)</t>
        </is>
      </c>
      <c r="D49" s="17" t="inlineStr">
        <is>
          <t>FE</t>
        </is>
      </c>
      <c r="E49" s="18" t="n">
        <v>46281</v>
      </c>
      <c r="F49" s="19" t="n">
        <v>46283</v>
      </c>
      <c r="G49" s="17">
        <f>IF(OR(E49="",F49=""),"",NETWORKDAYS(E49,F49))</f>
        <v/>
      </c>
      <c r="H49" s="20" t="n">
        <v>0</v>
      </c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3" t="n"/>
      <c r="V49" s="23" t="n"/>
      <c r="W49" s="23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</row>
    <row r="50" ht="19.5" customHeight="1">
      <c r="B50" s="15" t="inlineStr">
        <is>
          <t>5.4</t>
        </is>
      </c>
      <c r="C50" s="16" t="inlineStr">
        <is>
          <t>Cấu hình Spring Security: filter JWT và @PreAuthorize theo 3 role (US-02)</t>
        </is>
      </c>
      <c r="D50" s="17" t="inlineStr">
        <is>
          <t>BE</t>
        </is>
      </c>
      <c r="E50" s="18" t="n">
        <v>46282</v>
      </c>
      <c r="F50" s="19" t="n">
        <v>46286</v>
      </c>
      <c r="G50" s="17">
        <f>IF(OR(E50="",F50=""),"",NETWORKDAYS(E50,F50))</f>
        <v/>
      </c>
      <c r="H50" s="20" t="n">
        <v>0</v>
      </c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1" t="n"/>
      <c r="W50" s="21" t="n"/>
      <c r="X50" s="21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</row>
    <row r="51" ht="19.5" customHeight="1">
      <c r="B51" s="15" t="inlineStr">
        <is>
          <t>5.5</t>
        </is>
      </c>
      <c r="C51" s="16" t="inlineStr">
        <is>
          <t>Chặn route, ẩn menu theo role trên frontend và trang lỗi 403 (US-02)</t>
        </is>
      </c>
      <c r="D51" s="17" t="inlineStr">
        <is>
          <t>FE</t>
        </is>
      </c>
      <c r="E51" s="18" t="n">
        <v>46286</v>
      </c>
      <c r="F51" s="19" t="n">
        <v>46287</v>
      </c>
      <c r="G51" s="17">
        <f>IF(OR(E51="",F51=""),"",NETWORKDAYS(E51,F51))</f>
        <v/>
      </c>
      <c r="H51" s="20" t="n">
        <v>0</v>
      </c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3" t="n"/>
      <c r="Y51" s="23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</row>
    <row r="52" ht="19.5" customHeight="1">
      <c r="B52" s="15" t="inlineStr">
        <is>
          <t>5.6</t>
        </is>
      </c>
      <c r="C52" s="16" t="inlineStr">
        <is>
          <t>Viết API CRUD /users kèm khóa/mở tài khoản và đổi mật khẩu (US-03)</t>
        </is>
      </c>
      <c r="D52" s="17" t="inlineStr">
        <is>
          <t>BE</t>
        </is>
      </c>
      <c r="E52" s="18" t="n">
        <v>46286</v>
      </c>
      <c r="F52" s="19" t="n">
        <v>46288</v>
      </c>
      <c r="G52" s="17">
        <f>IF(OR(E52="",F52=""),"",NETWORKDAYS(E52,F52))</f>
        <v/>
      </c>
      <c r="H52" s="20" t="n">
        <v>0</v>
      </c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3" t="n"/>
      <c r="Y52" s="23" t="n"/>
      <c r="Z52" s="23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</row>
    <row r="53" ht="19.5" customHeight="1">
      <c r="B53" s="15" t="inlineStr">
        <is>
          <t>5.7</t>
        </is>
      </c>
      <c r="C53" s="16" t="inlineStr">
        <is>
          <t>Viết API CRUD /departments, chặn xóa phòng ban còn Intern (US-04)</t>
        </is>
      </c>
      <c r="D53" s="17" t="inlineStr">
        <is>
          <t>BE</t>
        </is>
      </c>
      <c r="E53" s="18" t="n">
        <v>46287</v>
      </c>
      <c r="F53" s="19" t="n">
        <v>46288</v>
      </c>
      <c r="G53" s="17">
        <f>IF(OR(E53="",F53=""),"",NETWORKDAYS(E53,F53))</f>
        <v/>
      </c>
      <c r="H53" s="20" t="n">
        <v>0</v>
      </c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3" t="n"/>
      <c r="Z53" s="23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</row>
    <row r="54" ht="19.5" customHeight="1">
      <c r="B54" s="15" t="inlineStr">
        <is>
          <t>5.8</t>
        </is>
      </c>
      <c r="C54" s="16" t="inlineStr">
        <is>
          <t>Dựng màn hình quản lý tài khoản UI-10 và phòng ban UI-11 (US-03, US-04)</t>
        </is>
      </c>
      <c r="D54" s="17" t="inlineStr">
        <is>
          <t>FE</t>
        </is>
      </c>
      <c r="E54" s="18" t="n">
        <v>46287</v>
      </c>
      <c r="F54" s="19" t="n">
        <v>46289</v>
      </c>
      <c r="G54" s="17">
        <f>IF(OR(E54="",F54=""),"",NETWORKDAYS(E54,F54))</f>
        <v/>
      </c>
      <c r="H54" s="20" t="n">
        <v>0</v>
      </c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3" t="n"/>
      <c r="Z54" s="23" t="n"/>
      <c r="AA54" s="23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</row>
    <row r="55" ht="19.5" customHeight="1">
      <c r="B55" s="15" t="inlineStr">
        <is>
          <t>5.9</t>
        </is>
      </c>
      <c r="C55" s="16" t="inlineStr">
        <is>
          <t>Nạp seed data: 1 Admin, 3 phòng ban, 3 Mentor, 10 Intern kiểm thử</t>
        </is>
      </c>
      <c r="D55" s="17" t="inlineStr">
        <is>
          <t>BE</t>
        </is>
      </c>
      <c r="E55" s="18" t="n">
        <v>46288</v>
      </c>
      <c r="F55" s="19" t="n">
        <v>46289</v>
      </c>
      <c r="G55" s="17">
        <f>IF(OR(E55="",F55=""),"",NETWORKDAYS(E55,F55))</f>
        <v/>
      </c>
      <c r="H55" s="20" t="n">
        <v>0</v>
      </c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3" t="n"/>
      <c r="AA55" s="23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</row>
    <row r="56" ht="19.5" customHeight="1">
      <c r="B56" s="15" t="inlineStr">
        <is>
          <t>5.10</t>
        </is>
      </c>
      <c r="C56" s="16" t="inlineStr">
        <is>
          <t>Nghiệm thu nội bộ UI-01, UI-10, UI-11 theo Acceptance Criteria US-01..US-04</t>
        </is>
      </c>
      <c r="D56" s="17" t="inlineStr">
        <is>
          <t>BA</t>
        </is>
      </c>
      <c r="E56" s="18" t="n">
        <v>46289</v>
      </c>
      <c r="F56" s="19" t="n">
        <v>46289</v>
      </c>
      <c r="G56" s="17">
        <f>IF(OR(E56="",F56=""),"",NETWORKDAYS(E56,F56))</f>
        <v/>
      </c>
      <c r="H56" s="20" t="n">
        <v>0</v>
      </c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3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</row>
    <row r="57" ht="19.5" customHeight="1">
      <c r="B57" s="15" t="inlineStr">
        <is>
          <t>5.11</t>
        </is>
      </c>
      <c r="C57" s="16" t="inlineStr">
        <is>
          <t>Chạy TC-AUTH-01..04, TC-RBAC-01..03, TC-USR-01..02, TC-DEP-01 và lưu evidence</t>
        </is>
      </c>
      <c r="D57" s="17" t="inlineStr">
        <is>
          <t>TEST</t>
        </is>
      </c>
      <c r="E57" s="18" t="n">
        <v>46289</v>
      </c>
      <c r="F57" s="19" t="n">
        <v>46290</v>
      </c>
      <c r="G57" s="17">
        <f>IF(OR(E57="",F57=""),"",NETWORKDAYS(E57,F57))</f>
        <v/>
      </c>
      <c r="H57" s="20" t="n">
        <v>0</v>
      </c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4" t="n"/>
      <c r="AB57" s="24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</row>
    <row r="58" ht="19.5" customHeight="1">
      <c r="B58" s="15" t="inlineStr">
        <is>
          <t>5.12</t>
        </is>
      </c>
      <c r="C58" s="16" t="inlineStr">
        <is>
          <t>Refine backlog Sprint 2: bổ sung Acceptance Criteria US-05..US-08 và cập nhật RTM</t>
        </is>
      </c>
      <c r="D58" s="17" t="inlineStr">
        <is>
          <t>BA</t>
        </is>
      </c>
      <c r="E58" s="18" t="n">
        <v>46290</v>
      </c>
      <c r="F58" s="19" t="n">
        <v>46290</v>
      </c>
      <c r="G58" s="17">
        <f>IF(OR(E58="",F58=""),"",NETWORKDAYS(E58,F58))</f>
        <v/>
      </c>
      <c r="H58" s="20" t="n">
        <v>0</v>
      </c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3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</row>
    <row r="59" ht="19.5" customHeight="1">
      <c r="B59" s="9" t="inlineStr">
        <is>
          <t>6</t>
        </is>
      </c>
      <c r="C59" s="10" t="inlineStr">
        <is>
          <t>Sprint 2 - Hồ sơ thực tập sinh và Mentor</t>
        </is>
      </c>
      <c r="D59" s="11" t="inlineStr">
        <is>
          <t>PM</t>
        </is>
      </c>
      <c r="E59" s="12" t="n">
        <v>46293</v>
      </c>
      <c r="F59" s="12" t="n">
        <v>46304</v>
      </c>
      <c r="G59" s="11">
        <f>IF(OR(E59="",F59=""),"",NETWORKDAYS(E59,F59))</f>
        <v/>
      </c>
      <c r="H59" s="13" t="n">
        <v>0</v>
      </c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</row>
    <row r="60" ht="19.5" customHeight="1">
      <c r="B60" s="15" t="inlineStr">
        <is>
          <t>6.1</t>
        </is>
      </c>
      <c r="C60" s="16" t="inlineStr">
        <is>
          <t>Chốt Acceptance Criteria US-05..US-08 và quy tắc BR-01..BR-05</t>
        </is>
      </c>
      <c r="D60" s="17" t="inlineStr">
        <is>
          <t>BA</t>
        </is>
      </c>
      <c r="E60" s="18" t="n">
        <v>46293</v>
      </c>
      <c r="F60" s="19" t="n">
        <v>46294</v>
      </c>
      <c r="G60" s="17">
        <f>IF(OR(E60="",F60=""),"",NETWORKDAYS(E60,F60))</f>
        <v/>
      </c>
      <c r="H60" s="20" t="n">
        <v>0</v>
      </c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3" t="n"/>
      <c r="AD60" s="23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</row>
    <row r="61" ht="19.5" customHeight="1">
      <c r="B61" s="15" t="inlineStr">
        <is>
          <t>6.2</t>
        </is>
      </c>
      <c r="C61" s="16" t="inlineStr">
        <is>
          <t>Viết API POST /applications nhận đơn đăng ký và CV PDF tối đa 5 MB (US-05)</t>
        </is>
      </c>
      <c r="D61" s="17" t="inlineStr">
        <is>
          <t>BE</t>
        </is>
      </c>
      <c r="E61" s="18" t="n">
        <v>46293</v>
      </c>
      <c r="F61" s="19" t="n">
        <v>46295</v>
      </c>
      <c r="G61" s="17">
        <f>IF(OR(E61="",F61=""),"",NETWORKDAYS(E61,F61))</f>
        <v/>
      </c>
      <c r="H61" s="20" t="n">
        <v>0</v>
      </c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1" t="n"/>
      <c r="AD61" s="21" t="n"/>
      <c r="AE61" s="21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2" t="n"/>
      <c r="AV61" s="22" t="n"/>
      <c r="AW61" s="22" t="n"/>
      <c r="AX61" s="22" t="n"/>
      <c r="AY61" s="22" t="n"/>
      <c r="AZ61" s="22" t="n"/>
      <c r="BA61" s="22" t="n"/>
      <c r="BB61" s="22" t="n"/>
      <c r="BC61" s="22" t="n"/>
      <c r="BD61" s="22" t="n"/>
      <c r="BE61" s="22" t="n"/>
      <c r="BF61" s="22" t="n"/>
      <c r="BG61" s="22" t="n"/>
      <c r="BH61" s="22" t="n"/>
      <c r="BI61" s="22" t="n"/>
      <c r="BJ61" s="22" t="n"/>
      <c r="BK61" s="22" t="n"/>
      <c r="BL61" s="22" t="n"/>
      <c r="BM61" s="22" t="n"/>
      <c r="BN61" s="22" t="n"/>
      <c r="BO61" s="22" t="n"/>
      <c r="BP61" s="22" t="n"/>
    </row>
    <row r="62" ht="19.5" customHeight="1">
      <c r="B62" s="15" t="inlineStr">
        <is>
          <t>6.3</t>
        </is>
      </c>
      <c r="C62" s="16" t="inlineStr">
        <is>
          <t>Dựng form đăng ký thực tập UI-02 có kiểm tra dữ liệu đầu vào (US-05)</t>
        </is>
      </c>
      <c r="D62" s="17" t="inlineStr">
        <is>
          <t>FE</t>
        </is>
      </c>
      <c r="E62" s="18" t="n">
        <v>46295</v>
      </c>
      <c r="F62" s="19" t="n">
        <v>46296</v>
      </c>
      <c r="G62" s="17">
        <f>IF(OR(E62="",F62=""),"",NETWORKDAYS(E62,F62))</f>
        <v/>
      </c>
      <c r="H62" s="20" t="n">
        <v>0</v>
      </c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3" t="n"/>
      <c r="AF62" s="23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2" t="n"/>
      <c r="AU62" s="22" t="n"/>
      <c r="AV62" s="22" t="n"/>
      <c r="AW62" s="22" t="n"/>
      <c r="AX62" s="22" t="n"/>
      <c r="AY62" s="22" t="n"/>
      <c r="AZ62" s="22" t="n"/>
      <c r="BA62" s="22" t="n"/>
      <c r="BB62" s="22" t="n"/>
      <c r="BC62" s="22" t="n"/>
      <c r="BD62" s="22" t="n"/>
      <c r="BE62" s="22" t="n"/>
      <c r="BF62" s="22" t="n"/>
      <c r="BG62" s="22" t="n"/>
      <c r="BH62" s="22" t="n"/>
      <c r="BI62" s="22" t="n"/>
      <c r="BJ62" s="22" t="n"/>
      <c r="BK62" s="22" t="n"/>
      <c r="BL62" s="22" t="n"/>
      <c r="BM62" s="22" t="n"/>
      <c r="BN62" s="22" t="n"/>
      <c r="BO62" s="22" t="n"/>
      <c r="BP62" s="22" t="n"/>
    </row>
    <row r="63" ht="19.5" customHeight="1">
      <c r="B63" s="15" t="inlineStr">
        <is>
          <t>6.4</t>
        </is>
      </c>
      <c r="C63" s="16" t="inlineStr">
        <is>
          <t>Viết API duyệt/từ chối hồ sơ, tự tạo tài khoản Intern và gửi email thông báo (US-06)</t>
        </is>
      </c>
      <c r="D63" s="17" t="inlineStr">
        <is>
          <t>BE</t>
        </is>
      </c>
      <c r="E63" s="18" t="n">
        <v>46296</v>
      </c>
      <c r="F63" s="19" t="n">
        <v>46300</v>
      </c>
      <c r="G63" s="17">
        <f>IF(OR(E63="",F63=""),"",NETWORKDAYS(E63,F63))</f>
        <v/>
      </c>
      <c r="H63" s="20" t="n">
        <v>0</v>
      </c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1" t="n"/>
      <c r="AG63" s="21" t="n"/>
      <c r="AH63" s="21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2" t="n"/>
      <c r="AV63" s="22" t="n"/>
      <c r="AW63" s="22" t="n"/>
      <c r="AX63" s="22" t="n"/>
      <c r="AY63" s="22" t="n"/>
      <c r="AZ63" s="22" t="n"/>
      <c r="BA63" s="22" t="n"/>
      <c r="BB63" s="22" t="n"/>
      <c r="BC63" s="22" t="n"/>
      <c r="BD63" s="22" t="n"/>
      <c r="BE63" s="22" t="n"/>
      <c r="BF63" s="22" t="n"/>
      <c r="BG63" s="22" t="n"/>
      <c r="BH63" s="22" t="n"/>
      <c r="BI63" s="22" t="n"/>
      <c r="BJ63" s="22" t="n"/>
      <c r="BK63" s="22" t="n"/>
      <c r="BL63" s="22" t="n"/>
      <c r="BM63" s="22" t="n"/>
      <c r="BN63" s="22" t="n"/>
      <c r="BO63" s="22" t="n"/>
      <c r="BP63" s="22" t="n"/>
    </row>
    <row r="64" ht="19.5" customHeight="1">
      <c r="B64" s="15" t="inlineStr">
        <is>
          <t>6.5</t>
        </is>
      </c>
      <c r="C64" s="16" t="inlineStr">
        <is>
          <t>Dựng màn hình danh sách và duyệt hồ sơ đăng ký UI-03 (US-06)</t>
        </is>
      </c>
      <c r="D64" s="17" t="inlineStr">
        <is>
          <t>FE</t>
        </is>
      </c>
      <c r="E64" s="18" t="n">
        <v>46297</v>
      </c>
      <c r="F64" s="19" t="n">
        <v>46300</v>
      </c>
      <c r="G64" s="17">
        <f>IF(OR(E64="",F64=""),"",NETWORKDAYS(E64,F64))</f>
        <v/>
      </c>
      <c r="H64" s="20" t="n">
        <v>0</v>
      </c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3" t="n"/>
      <c r="AH64" s="23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</row>
    <row r="65" ht="19.5" customHeight="1">
      <c r="B65" s="15" t="inlineStr">
        <is>
          <t>6.6</t>
        </is>
      </c>
      <c r="C65" s="16" t="inlineStr">
        <is>
          <t>Viết API /interns: tìm kiếm, lọc, phân trang, cập nhật hồ sơ, phân phòng ban (US-07)</t>
        </is>
      </c>
      <c r="D65" s="17" t="inlineStr">
        <is>
          <t>BE</t>
        </is>
      </c>
      <c r="E65" s="18" t="n">
        <v>46300</v>
      </c>
      <c r="F65" s="19" t="n">
        <v>46301</v>
      </c>
      <c r="G65" s="17">
        <f>IF(OR(E65="",F65=""),"",NETWORKDAYS(E65,F65))</f>
        <v/>
      </c>
      <c r="H65" s="20" t="n">
        <v>0</v>
      </c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3" t="n"/>
      <c r="AI65" s="23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</row>
    <row r="66" ht="19.5" customHeight="1">
      <c r="B66" s="15" t="inlineStr">
        <is>
          <t>6.7</t>
        </is>
      </c>
      <c r="C66" s="16" t="inlineStr">
        <is>
          <t>Dựng màn hình Intern List UI-04 và Intern Detail UI-05 (US-07)</t>
        </is>
      </c>
      <c r="D66" s="17" t="inlineStr">
        <is>
          <t>FE</t>
        </is>
      </c>
      <c r="E66" s="18" t="n">
        <v>46300</v>
      </c>
      <c r="F66" s="19" t="n">
        <v>46302</v>
      </c>
      <c r="G66" s="17">
        <f>IF(OR(E66="",F66=""),"",NETWORKDAYS(E66,F66))</f>
        <v/>
      </c>
      <c r="H66" s="20" t="n">
        <v>0</v>
      </c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3" t="n"/>
      <c r="AI66" s="23" t="n"/>
      <c r="AJ66" s="23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</row>
    <row r="67" ht="19.5" customHeight="1">
      <c r="B67" s="15" t="inlineStr">
        <is>
          <t>6.8</t>
        </is>
      </c>
      <c r="C67" s="16" t="inlineStr">
        <is>
          <t>Viết API /mentors và phân Mentor cho Intern, tối đa 5 Intern/Mentor theo BR-04 (US-08)</t>
        </is>
      </c>
      <c r="D67" s="17" t="inlineStr">
        <is>
          <t>BE</t>
        </is>
      </c>
      <c r="E67" s="18" t="n">
        <v>46301</v>
      </c>
      <c r="F67" s="19" t="n">
        <v>46302</v>
      </c>
      <c r="G67" s="17">
        <f>IF(OR(E67="",F67=""),"",NETWORKDAYS(E67,F67))</f>
        <v/>
      </c>
      <c r="H67" s="20" t="n">
        <v>0</v>
      </c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1" t="n"/>
      <c r="AJ67" s="21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</row>
    <row r="68" ht="19.5" customHeight="1">
      <c r="B68" s="15" t="inlineStr">
        <is>
          <t>6.9</t>
        </is>
      </c>
      <c r="C68" s="16" t="inlineStr">
        <is>
          <t>Dựng màn hình Mentor List UI-06 và hộp thoại phân công Mentor (US-08)</t>
        </is>
      </c>
      <c r="D68" s="17" t="inlineStr">
        <is>
          <t>FE</t>
        </is>
      </c>
      <c r="E68" s="18" t="n">
        <v>46302</v>
      </c>
      <c r="F68" s="19" t="n">
        <v>46303</v>
      </c>
      <c r="G68" s="17">
        <f>IF(OR(E68="",F68=""),"",NETWORKDAYS(E68,F68))</f>
        <v/>
      </c>
      <c r="H68" s="20" t="n">
        <v>0</v>
      </c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3" t="n"/>
      <c r="AK68" s="23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</row>
    <row r="69" ht="19.5" customHeight="1">
      <c r="B69" s="15" t="inlineStr">
        <is>
          <t>6.10</t>
        </is>
      </c>
      <c r="C69" s="16" t="inlineStr">
        <is>
          <t>Nghiệm thu nội bộ UI-02..UI-06 theo Acceptance Criteria US-05..US-08</t>
        </is>
      </c>
      <c r="D69" s="17" t="inlineStr">
        <is>
          <t>BA</t>
        </is>
      </c>
      <c r="E69" s="18" t="n">
        <v>46303</v>
      </c>
      <c r="F69" s="19" t="n">
        <v>46303</v>
      </c>
      <c r="G69" s="17">
        <f>IF(OR(E69="",F69=""),"",NETWORKDAYS(E69,F69))</f>
        <v/>
      </c>
      <c r="H69" s="20" t="n">
        <v>0</v>
      </c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3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</row>
    <row r="70" ht="19.5" customHeight="1">
      <c r="B70" s="15" t="inlineStr">
        <is>
          <t>6.11</t>
        </is>
      </c>
      <c r="C70" s="16" t="inlineStr">
        <is>
          <t>Chạy TC-REG-01..03, TC-APR-01..02, TC-INT-01..03, TC-MEN-01..02 và lưu evidence</t>
        </is>
      </c>
      <c r="D70" s="17" t="inlineStr">
        <is>
          <t>TEST</t>
        </is>
      </c>
      <c r="E70" s="18" t="n">
        <v>46303</v>
      </c>
      <c r="F70" s="19" t="n">
        <v>46304</v>
      </c>
      <c r="G70" s="17">
        <f>IF(OR(E70="",F70=""),"",NETWORKDAYS(E70,F70))</f>
        <v/>
      </c>
      <c r="H70" s="20" t="n">
        <v>0</v>
      </c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4" t="n"/>
      <c r="AL70" s="24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</row>
    <row r="71" ht="19.5" customHeight="1">
      <c r="B71" s="15" t="inlineStr">
        <is>
          <t>6.12</t>
        </is>
      </c>
      <c r="C71" s="16" t="inlineStr">
        <is>
          <t>Refine backlog Sprint 3: bổ sung Acceptance Criteria US-09..US-12 và cập nhật RTM</t>
        </is>
      </c>
      <c r="D71" s="17" t="inlineStr">
        <is>
          <t>BA</t>
        </is>
      </c>
      <c r="E71" s="18" t="n">
        <v>46304</v>
      </c>
      <c r="F71" s="19" t="n">
        <v>46304</v>
      </c>
      <c r="G71" s="17">
        <f>IF(OR(E71="",F71=""),"",NETWORKDAYS(E71,F71))</f>
        <v/>
      </c>
      <c r="H71" s="20" t="n">
        <v>0</v>
      </c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3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</row>
    <row r="72" ht="19.5" customHeight="1">
      <c r="B72" s="9" t="inlineStr">
        <is>
          <t>7</t>
        </is>
      </c>
      <c r="C72" s="10" t="inlineStr">
        <is>
          <t>Sprint 3 - Giao việc, chấm công và báo cáo tuần</t>
        </is>
      </c>
      <c r="D72" s="11" t="inlineStr">
        <is>
          <t>PM</t>
        </is>
      </c>
      <c r="E72" s="12" t="n">
        <v>46307</v>
      </c>
      <c r="F72" s="12" t="n">
        <v>46318</v>
      </c>
      <c r="G72" s="11">
        <f>IF(OR(E72="",F72=""),"",NETWORKDAYS(E72,F72))</f>
        <v/>
      </c>
      <c r="H72" s="13" t="n">
        <v>0</v>
      </c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14" t="n"/>
      <c r="AN72" s="14" t="n"/>
      <c r="AO72" s="14" t="n"/>
      <c r="AP72" s="14" t="n"/>
      <c r="AQ72" s="14" t="n"/>
      <c r="AR72" s="14" t="n"/>
      <c r="AS72" s="14" t="n"/>
      <c r="AT72" s="14" t="n"/>
      <c r="AU72" s="14" t="n"/>
      <c r="AV72" s="14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</row>
    <row r="73" ht="19.5" customHeight="1">
      <c r="B73" s="15" t="inlineStr">
        <is>
          <t>7.1</t>
        </is>
      </c>
      <c r="C73" s="16" t="inlineStr">
        <is>
          <t>Chốt Acceptance Criteria US-09..US-12, vòng đời Task và quy tắc chấm công BR-06..BR-10</t>
        </is>
      </c>
      <c r="D73" s="17" t="inlineStr">
        <is>
          <t>BA</t>
        </is>
      </c>
      <c r="E73" s="18" t="n">
        <v>46307</v>
      </c>
      <c r="F73" s="19" t="n">
        <v>46308</v>
      </c>
      <c r="G73" s="17">
        <f>IF(OR(E73="",F73=""),"",NETWORKDAYS(E73,F73))</f>
        <v/>
      </c>
      <c r="H73" s="20" t="n">
        <v>0</v>
      </c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3" t="n"/>
      <c r="AN73" s="23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</row>
    <row r="74" ht="19.5" customHeight="1">
      <c r="B74" s="15" t="inlineStr">
        <is>
          <t>7.2</t>
        </is>
      </c>
      <c r="C74" s="16" t="inlineStr">
        <is>
          <t>Viết API POST /tasks và danh sách task theo Intern cho Mentor (US-09)</t>
        </is>
      </c>
      <c r="D74" s="17" t="inlineStr">
        <is>
          <t>BE</t>
        </is>
      </c>
      <c r="E74" s="18" t="n">
        <v>46307</v>
      </c>
      <c r="F74" s="19" t="n">
        <v>46309</v>
      </c>
      <c r="G74" s="17">
        <f>IF(OR(E74="",F74=""),"",NETWORKDAYS(E74,F74))</f>
        <v/>
      </c>
      <c r="H74" s="20" t="n">
        <v>0</v>
      </c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  <c r="AM74" s="21" t="n"/>
      <c r="AN74" s="21" t="n"/>
      <c r="AO74" s="21" t="n"/>
      <c r="AP74" s="22" t="n"/>
      <c r="AQ74" s="22" t="n"/>
      <c r="AR74" s="22" t="n"/>
      <c r="AS74" s="22" t="n"/>
      <c r="AT74" s="22" t="n"/>
      <c r="AU74" s="22" t="n"/>
      <c r="AV74" s="22" t="n"/>
      <c r="AW74" s="22" t="n"/>
      <c r="AX74" s="22" t="n"/>
      <c r="AY74" s="22" t="n"/>
      <c r="AZ74" s="22" t="n"/>
      <c r="BA74" s="22" t="n"/>
      <c r="BB74" s="22" t="n"/>
      <c r="BC74" s="22" t="n"/>
      <c r="BD74" s="22" t="n"/>
      <c r="BE74" s="22" t="n"/>
      <c r="BF74" s="22" t="n"/>
      <c r="BG74" s="22" t="n"/>
      <c r="BH74" s="22" t="n"/>
      <c r="BI74" s="22" t="n"/>
      <c r="BJ74" s="22" t="n"/>
      <c r="BK74" s="22" t="n"/>
      <c r="BL74" s="22" t="n"/>
      <c r="BM74" s="22" t="n"/>
      <c r="BN74" s="22" t="n"/>
      <c r="BO74" s="22" t="n"/>
      <c r="BP74" s="22" t="n"/>
    </row>
    <row r="75" ht="19.5" customHeight="1">
      <c r="B75" s="15" t="inlineStr">
        <is>
          <t>7.3</t>
        </is>
      </c>
      <c r="C75" s="16" t="inlineStr">
        <is>
          <t>Dựng Task Board của Mentor UI-07 và form giao task có deadline (US-09)</t>
        </is>
      </c>
      <c r="D75" s="17" t="inlineStr">
        <is>
          <t>FE</t>
        </is>
      </c>
      <c r="E75" s="18" t="n">
        <v>46309</v>
      </c>
      <c r="F75" s="19" t="n">
        <v>46310</v>
      </c>
      <c r="G75" s="17">
        <f>IF(OR(E75="",F75=""),"",NETWORKDAYS(E75,F75))</f>
        <v/>
      </c>
      <c r="H75" s="20" t="n">
        <v>0</v>
      </c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3" t="n"/>
      <c r="AP75" s="23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</row>
    <row r="76" ht="19.5" customHeight="1">
      <c r="B76" s="15" t="inlineStr">
        <is>
          <t>7.4</t>
        </is>
      </c>
      <c r="C76" s="16" t="inlineStr">
        <is>
          <t>Viết API GET /tasks/my-tasks, PUT /tasks/{id}/status và bình luận task (US-10)</t>
        </is>
      </c>
      <c r="D76" s="17" t="inlineStr">
        <is>
          <t>BE</t>
        </is>
      </c>
      <c r="E76" s="18" t="n">
        <v>46309</v>
      </c>
      <c r="F76" s="19" t="n">
        <v>46310</v>
      </c>
      <c r="G76" s="17">
        <f>IF(OR(E76="",F76=""),"",NETWORKDAYS(E76,F76))</f>
        <v/>
      </c>
      <c r="H76" s="20" t="n">
        <v>0</v>
      </c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1" t="n"/>
      <c r="AP76" s="21" t="n"/>
      <c r="AQ76" s="22" t="n"/>
      <c r="AR76" s="22" t="n"/>
      <c r="AS76" s="22" t="n"/>
      <c r="AT76" s="22" t="n"/>
      <c r="AU76" s="22" t="n"/>
      <c r="AV76" s="22" t="n"/>
      <c r="AW76" s="22" t="n"/>
      <c r="AX76" s="22" t="n"/>
      <c r="AY76" s="22" t="n"/>
      <c r="AZ76" s="22" t="n"/>
      <c r="BA76" s="22" t="n"/>
      <c r="BB76" s="22" t="n"/>
      <c r="BC76" s="22" t="n"/>
      <c r="BD76" s="22" t="n"/>
      <c r="BE76" s="22" t="n"/>
      <c r="BF76" s="22" t="n"/>
      <c r="BG76" s="22" t="n"/>
      <c r="BH76" s="22" t="n"/>
      <c r="BI76" s="22" t="n"/>
      <c r="BJ76" s="22" t="n"/>
      <c r="BK76" s="22" t="n"/>
      <c r="BL76" s="22" t="n"/>
      <c r="BM76" s="22" t="n"/>
      <c r="BN76" s="22" t="n"/>
      <c r="BO76" s="22" t="n"/>
      <c r="BP76" s="22" t="n"/>
    </row>
    <row r="77" ht="19.5" customHeight="1">
      <c r="B77" s="15" t="inlineStr">
        <is>
          <t>7.5</t>
        </is>
      </c>
      <c r="C77" s="16" t="inlineStr">
        <is>
          <t>Dựng màn hình My Tasks UI-08 và Task Detail kèm bình luận (US-10)</t>
        </is>
      </c>
      <c r="D77" s="17" t="inlineStr">
        <is>
          <t>FE</t>
        </is>
      </c>
      <c r="E77" s="18" t="n">
        <v>46310</v>
      </c>
      <c r="F77" s="19" t="n">
        <v>46314</v>
      </c>
      <c r="G77" s="17">
        <f>IF(OR(E77="",F77=""),"",NETWORKDAYS(E77,F77))</f>
        <v/>
      </c>
      <c r="H77" s="20" t="n">
        <v>0</v>
      </c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3" t="n"/>
      <c r="AQ77" s="23" t="n"/>
      <c r="AR77" s="23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</row>
    <row r="78" ht="19.5" customHeight="1">
      <c r="B78" s="15" t="inlineStr">
        <is>
          <t>7.6</t>
        </is>
      </c>
      <c r="C78" s="16" t="inlineStr">
        <is>
          <t>Viết API check-in/check-out /attendances, chặn chấm công trùng trong ngày BR-08 (US-11)</t>
        </is>
      </c>
      <c r="D78" s="17" t="inlineStr">
        <is>
          <t>BE</t>
        </is>
      </c>
      <c r="E78" s="18" t="n">
        <v>46311</v>
      </c>
      <c r="F78" s="19" t="n">
        <v>46314</v>
      </c>
      <c r="G78" s="17">
        <f>IF(OR(E78="",F78=""),"",NETWORKDAYS(E78,F78))</f>
        <v/>
      </c>
      <c r="H78" s="20" t="n">
        <v>0</v>
      </c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3" t="n"/>
      <c r="AR78" s="23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</row>
    <row r="79" ht="19.5" customHeight="1">
      <c r="B79" s="15" t="inlineStr">
        <is>
          <t>7.7</t>
        </is>
      </c>
      <c r="C79" s="16" t="inlineStr">
        <is>
          <t>Dựng nút chấm công và bảng công tháng cho Intern, Mentor (US-11)</t>
        </is>
      </c>
      <c r="D79" s="17" t="inlineStr">
        <is>
          <t>FE</t>
        </is>
      </c>
      <c r="E79" s="18" t="n">
        <v>46314</v>
      </c>
      <c r="F79" s="19" t="n">
        <v>46315</v>
      </c>
      <c r="G79" s="17">
        <f>IF(OR(E79="",F79=""),"",NETWORKDAYS(E79,F79))</f>
        <v/>
      </c>
      <c r="H79" s="20" t="n">
        <v>0</v>
      </c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3" t="n"/>
      <c r="AS79" s="23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</row>
    <row r="80" ht="19.5" customHeight="1">
      <c r="B80" s="15" t="inlineStr">
        <is>
          <t>7.8</t>
        </is>
      </c>
      <c r="C80" s="16" t="inlineStr">
        <is>
          <t>Viết API /weekly-reports: nộp, hạn chót Chủ nhật 23:59 theo BR-10, Mentor phản hồi (US-12)</t>
        </is>
      </c>
      <c r="D80" s="17" t="inlineStr">
        <is>
          <t>BE</t>
        </is>
      </c>
      <c r="E80" s="18" t="n">
        <v>46314</v>
      </c>
      <c r="F80" s="19" t="n">
        <v>46316</v>
      </c>
      <c r="G80" s="17">
        <f>IF(OR(E80="",F80=""),"",NETWORKDAYS(E80,F80))</f>
        <v/>
      </c>
      <c r="H80" s="20" t="n">
        <v>0</v>
      </c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1" t="n"/>
      <c r="AS80" s="21" t="n"/>
      <c r="AT80" s="21" t="n"/>
      <c r="AU80" s="22" t="n"/>
      <c r="AV80" s="22" t="n"/>
      <c r="AW80" s="22" t="n"/>
      <c r="AX80" s="22" t="n"/>
      <c r="AY80" s="22" t="n"/>
      <c r="AZ80" s="22" t="n"/>
      <c r="BA80" s="22" t="n"/>
      <c r="BB80" s="22" t="n"/>
      <c r="BC80" s="22" t="n"/>
      <c r="BD80" s="22" t="n"/>
      <c r="BE80" s="22" t="n"/>
      <c r="BF80" s="22" t="n"/>
      <c r="BG80" s="22" t="n"/>
      <c r="BH80" s="22" t="n"/>
      <c r="BI80" s="22" t="n"/>
      <c r="BJ80" s="22" t="n"/>
      <c r="BK80" s="22" t="n"/>
      <c r="BL80" s="22" t="n"/>
      <c r="BM80" s="22" t="n"/>
      <c r="BN80" s="22" t="n"/>
      <c r="BO80" s="22" t="n"/>
      <c r="BP80" s="22" t="n"/>
    </row>
    <row r="81" ht="19.5" customHeight="1">
      <c r="B81" s="15" t="inlineStr">
        <is>
          <t>7.9</t>
        </is>
      </c>
      <c r="C81" s="16" t="inlineStr">
        <is>
          <t>Dựng màn hình Weekly Report UI-09 cho Intern và Mentor (US-12)</t>
        </is>
      </c>
      <c r="D81" s="17" t="inlineStr">
        <is>
          <t>FE</t>
        </is>
      </c>
      <c r="E81" s="18" t="n">
        <v>46315</v>
      </c>
      <c r="F81" s="19" t="n">
        <v>46317</v>
      </c>
      <c r="G81" s="17">
        <f>IF(OR(E81="",F81=""),"",NETWORKDAYS(E81,F81))</f>
        <v/>
      </c>
      <c r="H81" s="20" t="n">
        <v>0</v>
      </c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3" t="n"/>
      <c r="AT81" s="23" t="n"/>
      <c r="AU81" s="23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</row>
    <row r="82" ht="19.5" customHeight="1">
      <c r="B82" s="15" t="inlineStr">
        <is>
          <t>7.10</t>
        </is>
      </c>
      <c r="C82" s="16" t="inlineStr">
        <is>
          <t>Nghiệm thu nội bộ UI-07..UI-09 theo Acceptance Criteria US-09..US-12</t>
        </is>
      </c>
      <c r="D82" s="17" t="inlineStr">
        <is>
          <t>BA</t>
        </is>
      </c>
      <c r="E82" s="18" t="n">
        <v>46317</v>
      </c>
      <c r="F82" s="19" t="n">
        <v>46317</v>
      </c>
      <c r="G82" s="17">
        <f>IF(OR(E82="",F82=""),"",NETWORKDAYS(E82,F82))</f>
        <v/>
      </c>
      <c r="H82" s="20" t="n">
        <v>0</v>
      </c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3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</row>
    <row r="83" ht="19.5" customHeight="1">
      <c r="B83" s="15" t="inlineStr">
        <is>
          <t>7.11</t>
        </is>
      </c>
      <c r="C83" s="16" t="inlineStr">
        <is>
          <t>Chạy TC-TASK-01..05, TC-ATT-01..03, TC-RPT-01..03 và lưu evidence</t>
        </is>
      </c>
      <c r="D83" s="17" t="inlineStr">
        <is>
          <t>TEST</t>
        </is>
      </c>
      <c r="E83" s="18" t="n">
        <v>46317</v>
      </c>
      <c r="F83" s="19" t="n">
        <v>46318</v>
      </c>
      <c r="G83" s="17">
        <f>IF(OR(E83="",F83=""),"",NETWORKDAYS(E83,F83))</f>
        <v/>
      </c>
      <c r="H83" s="20" t="n">
        <v>0</v>
      </c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4" t="n"/>
      <c r="AV83" s="24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</row>
    <row r="84" ht="19.5" customHeight="1">
      <c r="B84" s="15" t="inlineStr">
        <is>
          <t>7.12</t>
        </is>
      </c>
      <c r="C84" s="16" t="inlineStr">
        <is>
          <t>Refine backlog Sprint 4: bổ sung Acceptance Criteria US-13..US-16 và cập nhật RTM</t>
        </is>
      </c>
      <c r="D84" s="17" t="inlineStr">
        <is>
          <t>BA</t>
        </is>
      </c>
      <c r="E84" s="18" t="n">
        <v>46318</v>
      </c>
      <c r="F84" s="19" t="n">
        <v>46318</v>
      </c>
      <c r="G84" s="17">
        <f>IF(OR(E84="",F84=""),"",NETWORKDAYS(E84,F84))</f>
        <v/>
      </c>
      <c r="H84" s="20" t="n">
        <v>0</v>
      </c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2" t="n"/>
      <c r="AV84" s="23" t="n"/>
      <c r="AW84" s="22" t="n"/>
      <c r="AX84" s="22" t="n"/>
      <c r="AY84" s="22" t="n"/>
      <c r="AZ84" s="22" t="n"/>
      <c r="BA84" s="22" t="n"/>
      <c r="BB84" s="22" t="n"/>
      <c r="BC84" s="22" t="n"/>
      <c r="BD84" s="22" t="n"/>
      <c r="BE84" s="22" t="n"/>
      <c r="BF84" s="22" t="n"/>
      <c r="BG84" s="22" t="n"/>
      <c r="BH84" s="22" t="n"/>
      <c r="BI84" s="22" t="n"/>
      <c r="BJ84" s="22" t="n"/>
      <c r="BK84" s="22" t="n"/>
      <c r="BL84" s="22" t="n"/>
      <c r="BM84" s="22" t="n"/>
      <c r="BN84" s="22" t="n"/>
      <c r="BO84" s="22" t="n"/>
      <c r="BP84" s="22" t="n"/>
    </row>
    <row r="85" ht="19.5" customHeight="1">
      <c r="B85" s="9" t="inlineStr">
        <is>
          <t>8</t>
        </is>
      </c>
      <c r="C85" s="10" t="inlineStr">
        <is>
          <t>Sprint 4 - Đánh giá, tiến độ, dashboard và xuất kết quả</t>
        </is>
      </c>
      <c r="D85" s="11" t="inlineStr">
        <is>
          <t>PM</t>
        </is>
      </c>
      <c r="E85" s="12" t="n">
        <v>46321</v>
      </c>
      <c r="F85" s="12" t="n">
        <v>46332</v>
      </c>
      <c r="G85" s="11">
        <f>IF(OR(E85="",F85=""),"",NETWORKDAYS(E85,F85))</f>
        <v/>
      </c>
      <c r="H85" s="13" t="n">
        <v>0</v>
      </c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 t="n"/>
      <c r="AT85" s="22" t="n"/>
      <c r="AU85" s="22" t="n"/>
      <c r="AV85" s="22" t="n"/>
      <c r="AW85" s="14" t="n"/>
      <c r="AX85" s="14" t="n"/>
      <c r="AY85" s="14" t="n"/>
      <c r="AZ85" s="14" t="n"/>
      <c r="BA85" s="14" t="n"/>
      <c r="BB85" s="14" t="n"/>
      <c r="BC85" s="14" t="n"/>
      <c r="BD85" s="14" t="n"/>
      <c r="BE85" s="14" t="n"/>
      <c r="BF85" s="14" t="n"/>
      <c r="BG85" s="22" t="n"/>
      <c r="BH85" s="22" t="n"/>
      <c r="BI85" s="22" t="n"/>
      <c r="BJ85" s="22" t="n"/>
      <c r="BK85" s="22" t="n"/>
      <c r="BL85" s="22" t="n"/>
      <c r="BM85" s="22" t="n"/>
      <c r="BN85" s="22" t="n"/>
      <c r="BO85" s="22" t="n"/>
      <c r="BP85" s="22" t="n"/>
    </row>
    <row r="86" ht="19.5" customHeight="1">
      <c r="B86" s="15" t="inlineStr">
        <is>
          <t>8.1</t>
        </is>
      </c>
      <c r="C86" s="16" t="inlineStr">
        <is>
          <t>Chốt 5 tiêu chí đánh giá thang 10, công thức tính tiến độ và chỉ số dashboard</t>
        </is>
      </c>
      <c r="D86" s="17" t="inlineStr">
        <is>
          <t>BA</t>
        </is>
      </c>
      <c r="E86" s="18" t="n">
        <v>46321</v>
      </c>
      <c r="F86" s="19" t="n">
        <v>46322</v>
      </c>
      <c r="G86" s="17">
        <f>IF(OR(E86="",F86=""),"",NETWORKDAYS(E86,F86))</f>
        <v/>
      </c>
      <c r="H86" s="20" t="n">
        <v>0</v>
      </c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3" t="n"/>
      <c r="AX86" s="23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</row>
    <row r="87" ht="19.5" customHeight="1">
      <c r="B87" s="15" t="inlineStr">
        <is>
          <t>8.2</t>
        </is>
      </c>
      <c r="C87" s="16" t="inlineStr">
        <is>
          <t>Viết API /evaluations giữa kỳ và cuối kỳ, chỉ Mentor phụ trách được chấm BR-12 (US-13)</t>
        </is>
      </c>
      <c r="D87" s="17" t="inlineStr">
        <is>
          <t>BE</t>
        </is>
      </c>
      <c r="E87" s="18" t="n">
        <v>46321</v>
      </c>
      <c r="F87" s="19" t="n">
        <v>46323</v>
      </c>
      <c r="G87" s="17">
        <f>IF(OR(E87="",F87=""),"",NETWORKDAYS(E87,F87))</f>
        <v/>
      </c>
      <c r="H87" s="20" t="n">
        <v>0</v>
      </c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3" t="n"/>
      <c r="AX87" s="23" t="n"/>
      <c r="AY87" s="23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</row>
    <row r="88" ht="19.5" customHeight="1">
      <c r="B88" s="15" t="inlineStr">
        <is>
          <t>8.3</t>
        </is>
      </c>
      <c r="C88" s="16" t="inlineStr">
        <is>
          <t>Dựng form đánh giá UI-12 cho Mentor và trang xem đánh giá cho Intern (US-13)</t>
        </is>
      </c>
      <c r="D88" s="17" t="inlineStr">
        <is>
          <t>FE</t>
        </is>
      </c>
      <c r="E88" s="18" t="n">
        <v>46323</v>
      </c>
      <c r="F88" s="19" t="n">
        <v>46324</v>
      </c>
      <c r="G88" s="17">
        <f>IF(OR(E88="",F88=""),"",NETWORKDAYS(E88,F88))</f>
        <v/>
      </c>
      <c r="H88" s="20" t="n">
        <v>0</v>
      </c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3" t="n"/>
      <c r="AZ88" s="23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</row>
    <row r="89" ht="19.5" customHeight="1">
      <c r="B89" s="15" t="inlineStr">
        <is>
          <t>8.4</t>
        </is>
      </c>
      <c r="C89" s="16" t="inlineStr">
        <is>
          <t>Viết service tính tiến độ: 50% task DONE + 25% báo cáo tuần + 25% chuyên cần (US-14)</t>
        </is>
      </c>
      <c r="D89" s="17" t="inlineStr">
        <is>
          <t>BE</t>
        </is>
      </c>
      <c r="E89" s="18" t="n">
        <v>46323</v>
      </c>
      <c r="F89" s="19" t="n">
        <v>46325</v>
      </c>
      <c r="G89" s="17">
        <f>IF(OR(E89="",F89=""),"",NETWORKDAYS(E89,F89))</f>
        <v/>
      </c>
      <c r="H89" s="20" t="n">
        <v>0</v>
      </c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 t="n"/>
      <c r="AT89" s="22" t="n"/>
      <c r="AU89" s="22" t="n"/>
      <c r="AV89" s="22" t="n"/>
      <c r="AW89" s="22" t="n"/>
      <c r="AX89" s="22" t="n"/>
      <c r="AY89" s="21" t="n"/>
      <c r="AZ89" s="21" t="n"/>
      <c r="BA89" s="21" t="n"/>
      <c r="BB89" s="22" t="n"/>
      <c r="BC89" s="22" t="n"/>
      <c r="BD89" s="22" t="n"/>
      <c r="BE89" s="22" t="n"/>
      <c r="BF89" s="22" t="n"/>
      <c r="BG89" s="22" t="n"/>
      <c r="BH89" s="22" t="n"/>
      <c r="BI89" s="22" t="n"/>
      <c r="BJ89" s="22" t="n"/>
      <c r="BK89" s="22" t="n"/>
      <c r="BL89" s="22" t="n"/>
      <c r="BM89" s="22" t="n"/>
      <c r="BN89" s="22" t="n"/>
      <c r="BO89" s="22" t="n"/>
      <c r="BP89" s="22" t="n"/>
    </row>
    <row r="90" ht="19.5" customHeight="1">
      <c r="B90" s="15" t="inlineStr">
        <is>
          <t>8.5</t>
        </is>
      </c>
      <c r="C90" s="16" t="inlineStr">
        <is>
          <t>Hiển thị thanh tiến độ trên Intern Detail và Intern Dashboard (US-14)</t>
        </is>
      </c>
      <c r="D90" s="17" t="inlineStr">
        <is>
          <t>FE</t>
        </is>
      </c>
      <c r="E90" s="18" t="n">
        <v>46325</v>
      </c>
      <c r="F90" s="19" t="n">
        <v>46328</v>
      </c>
      <c r="G90" s="17">
        <f>IF(OR(E90="",F90=""),"",NETWORKDAYS(E90,F90))</f>
        <v/>
      </c>
      <c r="H90" s="20" t="n">
        <v>0</v>
      </c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  <c r="AM90" s="22" t="n"/>
      <c r="AN90" s="22" t="n"/>
      <c r="AO90" s="22" t="n"/>
      <c r="AP90" s="22" t="n"/>
      <c r="AQ90" s="22" t="n"/>
      <c r="AR90" s="22" t="n"/>
      <c r="AS90" s="22" t="n"/>
      <c r="AT90" s="22" t="n"/>
      <c r="AU90" s="22" t="n"/>
      <c r="AV90" s="22" t="n"/>
      <c r="AW90" s="22" t="n"/>
      <c r="AX90" s="22" t="n"/>
      <c r="AY90" s="22" t="n"/>
      <c r="AZ90" s="22" t="n"/>
      <c r="BA90" s="23" t="n"/>
      <c r="BB90" s="23" t="n"/>
      <c r="BC90" s="22" t="n"/>
      <c r="BD90" s="22" t="n"/>
      <c r="BE90" s="22" t="n"/>
      <c r="BF90" s="22" t="n"/>
      <c r="BG90" s="22" t="n"/>
      <c r="BH90" s="22" t="n"/>
      <c r="BI90" s="22" t="n"/>
      <c r="BJ90" s="22" t="n"/>
      <c r="BK90" s="22" t="n"/>
      <c r="BL90" s="22" t="n"/>
      <c r="BM90" s="22" t="n"/>
      <c r="BN90" s="22" t="n"/>
      <c r="BO90" s="22" t="n"/>
      <c r="BP90" s="22" t="n"/>
    </row>
    <row r="91" ht="19.5" customHeight="1">
      <c r="B91" s="15" t="inlineStr">
        <is>
          <t>8.6</t>
        </is>
      </c>
      <c r="C91" s="16" t="inlineStr">
        <is>
          <t>Viết API /dashboard/admin, /dashboard/mentor, /dashboard/intern tổng hợp số liệu (US-15)</t>
        </is>
      </c>
      <c r="D91" s="17" t="inlineStr">
        <is>
          <t>BE</t>
        </is>
      </c>
      <c r="E91" s="18" t="n">
        <v>46328</v>
      </c>
      <c r="F91" s="19" t="n">
        <v>46329</v>
      </c>
      <c r="G91" s="17">
        <f>IF(OR(E91="",F91=""),"",NETWORKDAYS(E91,F91))</f>
        <v/>
      </c>
      <c r="H91" s="20" t="n">
        <v>0</v>
      </c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 t="n"/>
      <c r="AT91" s="22" t="n"/>
      <c r="AU91" s="22" t="n"/>
      <c r="AV91" s="22" t="n"/>
      <c r="AW91" s="22" t="n"/>
      <c r="AX91" s="22" t="n"/>
      <c r="AY91" s="22" t="n"/>
      <c r="AZ91" s="22" t="n"/>
      <c r="BA91" s="22" t="n"/>
      <c r="BB91" s="21" t="n"/>
      <c r="BC91" s="21" t="n"/>
      <c r="BD91" s="22" t="n"/>
      <c r="BE91" s="22" t="n"/>
      <c r="BF91" s="22" t="n"/>
      <c r="BG91" s="22" t="n"/>
      <c r="BH91" s="22" t="n"/>
      <c r="BI91" s="22" t="n"/>
      <c r="BJ91" s="22" t="n"/>
      <c r="BK91" s="22" t="n"/>
      <c r="BL91" s="22" t="n"/>
      <c r="BM91" s="22" t="n"/>
      <c r="BN91" s="22" t="n"/>
      <c r="BO91" s="22" t="n"/>
      <c r="BP91" s="22" t="n"/>
    </row>
    <row r="92" ht="19.5" customHeight="1">
      <c r="B92" s="15" t="inlineStr">
        <is>
          <t>8.7</t>
        </is>
      </c>
      <c r="C92" s="16" t="inlineStr">
        <is>
          <t>Dựng 3 dashboard bằng Recharts: số Intern, tiến độ, task quá hạn, điểm trung bình (US-15)</t>
        </is>
      </c>
      <c r="D92" s="17" t="inlineStr">
        <is>
          <t>FE</t>
        </is>
      </c>
      <c r="E92" s="18" t="n">
        <v>46328</v>
      </c>
      <c r="F92" s="19" t="n">
        <v>46330</v>
      </c>
      <c r="G92" s="17">
        <f>IF(OR(E92="",F92=""),"",NETWORKDAYS(E92,F92))</f>
        <v/>
      </c>
      <c r="H92" s="20" t="n">
        <v>0</v>
      </c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2" t="n"/>
      <c r="AV92" s="22" t="n"/>
      <c r="AW92" s="22" t="n"/>
      <c r="AX92" s="22" t="n"/>
      <c r="AY92" s="22" t="n"/>
      <c r="AZ92" s="22" t="n"/>
      <c r="BA92" s="22" t="n"/>
      <c r="BB92" s="23" t="n"/>
      <c r="BC92" s="23" t="n"/>
      <c r="BD92" s="23" t="n"/>
      <c r="BE92" s="22" t="n"/>
      <c r="BF92" s="22" t="n"/>
      <c r="BG92" s="22" t="n"/>
      <c r="BH92" s="22" t="n"/>
      <c r="BI92" s="22" t="n"/>
      <c r="BJ92" s="22" t="n"/>
      <c r="BK92" s="22" t="n"/>
      <c r="BL92" s="22" t="n"/>
      <c r="BM92" s="22" t="n"/>
      <c r="BN92" s="22" t="n"/>
      <c r="BO92" s="22" t="n"/>
      <c r="BP92" s="22" t="n"/>
    </row>
    <row r="93" ht="19.5" customHeight="1">
      <c r="B93" s="15" t="inlineStr">
        <is>
          <t>8.8</t>
        </is>
      </c>
      <c r="C93" s="16" t="inlineStr">
        <is>
          <t>Xuất kết quả cuối kỳ ra Excel (Apache POI) và PDF, chuyển trạng thái COMPLETED (US-16)</t>
        </is>
      </c>
      <c r="D93" s="17" t="inlineStr">
        <is>
          <t>BE</t>
        </is>
      </c>
      <c r="E93" s="18" t="n">
        <v>46329</v>
      </c>
      <c r="F93" s="19" t="n">
        <v>46331</v>
      </c>
      <c r="G93" s="17">
        <f>IF(OR(E93="",F93=""),"",NETWORKDAYS(E93,F93))</f>
        <v/>
      </c>
      <c r="H93" s="20" t="n">
        <v>0</v>
      </c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 t="n"/>
      <c r="AT93" s="22" t="n"/>
      <c r="AU93" s="22" t="n"/>
      <c r="AV93" s="22" t="n"/>
      <c r="AW93" s="22" t="n"/>
      <c r="AX93" s="22" t="n"/>
      <c r="AY93" s="22" t="n"/>
      <c r="AZ93" s="22" t="n"/>
      <c r="BA93" s="22" t="n"/>
      <c r="BB93" s="22" t="n"/>
      <c r="BC93" s="21" t="n"/>
      <c r="BD93" s="21" t="n"/>
      <c r="BE93" s="21" t="n"/>
      <c r="BF93" s="22" t="n"/>
      <c r="BG93" s="22" t="n"/>
      <c r="BH93" s="22" t="n"/>
      <c r="BI93" s="22" t="n"/>
      <c r="BJ93" s="22" t="n"/>
      <c r="BK93" s="22" t="n"/>
      <c r="BL93" s="22" t="n"/>
      <c r="BM93" s="22" t="n"/>
      <c r="BN93" s="22" t="n"/>
      <c r="BO93" s="22" t="n"/>
      <c r="BP93" s="22" t="n"/>
    </row>
    <row r="94" ht="19.5" customHeight="1">
      <c r="B94" s="15" t="inlineStr">
        <is>
          <t>8.9</t>
        </is>
      </c>
      <c r="C94" s="16" t="inlineStr">
        <is>
          <t>Thêm nút xuất file và thao tác kết thúc kỳ thực tập trên giao diện Admin (US-16)</t>
        </is>
      </c>
      <c r="D94" s="17" t="inlineStr">
        <is>
          <t>FE</t>
        </is>
      </c>
      <c r="E94" s="18" t="n">
        <v>46330</v>
      </c>
      <c r="F94" s="19" t="n">
        <v>46331</v>
      </c>
      <c r="G94" s="17">
        <f>IF(OR(E94="",F94=""),"",NETWORKDAYS(E94,F94))</f>
        <v/>
      </c>
      <c r="H94" s="20" t="n">
        <v>0</v>
      </c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22" t="n"/>
      <c r="AR94" s="22" t="n"/>
      <c r="AS94" s="22" t="n"/>
      <c r="AT94" s="22" t="n"/>
      <c r="AU94" s="22" t="n"/>
      <c r="AV94" s="22" t="n"/>
      <c r="AW94" s="22" t="n"/>
      <c r="AX94" s="22" t="n"/>
      <c r="AY94" s="22" t="n"/>
      <c r="AZ94" s="22" t="n"/>
      <c r="BA94" s="22" t="n"/>
      <c r="BB94" s="22" t="n"/>
      <c r="BC94" s="22" t="n"/>
      <c r="BD94" s="23" t="n"/>
      <c r="BE94" s="23" t="n"/>
      <c r="BF94" s="22" t="n"/>
      <c r="BG94" s="22" t="n"/>
      <c r="BH94" s="22" t="n"/>
      <c r="BI94" s="22" t="n"/>
      <c r="BJ94" s="22" t="n"/>
      <c r="BK94" s="22" t="n"/>
      <c r="BL94" s="22" t="n"/>
      <c r="BM94" s="22" t="n"/>
      <c r="BN94" s="22" t="n"/>
      <c r="BO94" s="22" t="n"/>
      <c r="BP94" s="22" t="n"/>
    </row>
    <row r="95" ht="19.5" customHeight="1">
      <c r="B95" s="15" t="inlineStr">
        <is>
          <t>8.10</t>
        </is>
      </c>
      <c r="C95" s="16" t="inlineStr">
        <is>
          <t>Kiểm tra số liệu dashboard và file kết quả khớp BR-11..BR-15</t>
        </is>
      </c>
      <c r="D95" s="17" t="inlineStr">
        <is>
          <t>BA</t>
        </is>
      </c>
      <c r="E95" s="18" t="n">
        <v>46331</v>
      </c>
      <c r="F95" s="19" t="n">
        <v>46331</v>
      </c>
      <c r="G95" s="17">
        <f>IF(OR(E95="",F95=""),"",NETWORKDAYS(E95,F95))</f>
        <v/>
      </c>
      <c r="H95" s="20" t="n">
        <v>0</v>
      </c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 t="n"/>
      <c r="AT95" s="22" t="n"/>
      <c r="AU95" s="22" t="n"/>
      <c r="AV95" s="22" t="n"/>
      <c r="AW95" s="22" t="n"/>
      <c r="AX95" s="22" t="n"/>
      <c r="AY95" s="22" t="n"/>
      <c r="AZ95" s="22" t="n"/>
      <c r="BA95" s="22" t="n"/>
      <c r="BB95" s="22" t="n"/>
      <c r="BC95" s="22" t="n"/>
      <c r="BD95" s="22" t="n"/>
      <c r="BE95" s="23" t="n"/>
      <c r="BF95" s="22" t="n"/>
      <c r="BG95" s="22" t="n"/>
      <c r="BH95" s="22" t="n"/>
      <c r="BI95" s="22" t="n"/>
      <c r="BJ95" s="22" t="n"/>
      <c r="BK95" s="22" t="n"/>
      <c r="BL95" s="22" t="n"/>
      <c r="BM95" s="22" t="n"/>
      <c r="BN95" s="22" t="n"/>
      <c r="BO95" s="22" t="n"/>
      <c r="BP95" s="22" t="n"/>
    </row>
    <row r="96" ht="19.5" customHeight="1">
      <c r="B96" s="15" t="inlineStr">
        <is>
          <t>8.11</t>
        </is>
      </c>
      <c r="C96" s="16" t="inlineStr">
        <is>
          <t>Chạy TC-EVA-01..03, TC-PRG-01, TC-DSH-01..02, TC-EXP-01..02 và lưu evidence</t>
        </is>
      </c>
      <c r="D96" s="17" t="inlineStr">
        <is>
          <t>TEST</t>
        </is>
      </c>
      <c r="E96" s="18" t="n">
        <v>46331</v>
      </c>
      <c r="F96" s="19" t="n">
        <v>46332</v>
      </c>
      <c r="G96" s="17">
        <f>IF(OR(E96="",F96=""),"",NETWORKDAYS(E96,F96))</f>
        <v/>
      </c>
      <c r="H96" s="20" t="n">
        <v>0</v>
      </c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4" t="n"/>
      <c r="BF96" s="24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</row>
    <row r="97" ht="19.5" customHeight="1">
      <c r="B97" s="15" t="inlineStr">
        <is>
          <t>8.12</t>
        </is>
      </c>
      <c r="C97" s="16" t="inlineStr">
        <is>
          <t>Viết 8 kịch bản UAT UAT-01..UAT-08 và chuẩn bị dữ liệu nghiệp vụ</t>
        </is>
      </c>
      <c r="D97" s="17" t="inlineStr">
        <is>
          <t>BA</t>
        </is>
      </c>
      <c r="E97" s="18" t="n">
        <v>46332</v>
      </c>
      <c r="F97" s="19" t="n">
        <v>46332</v>
      </c>
      <c r="G97" s="17">
        <f>IF(OR(E97="",F97=""),"",NETWORKDAYS(E97,F97))</f>
        <v/>
      </c>
      <c r="H97" s="20" t="n">
        <v>0</v>
      </c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3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</row>
    <row r="98" ht="19.5" customHeight="1">
      <c r="B98" s="9" t="inlineStr">
        <is>
          <t>9</t>
        </is>
      </c>
      <c r="C98" s="10" t="inlineStr">
        <is>
          <t>Kiểm thử và đảm bảo chất lượng</t>
        </is>
      </c>
      <c r="D98" s="11" t="inlineStr">
        <is>
          <t>TEST</t>
        </is>
      </c>
      <c r="E98" s="12" t="n">
        <v>46279</v>
      </c>
      <c r="F98" s="12" t="n">
        <v>46339</v>
      </c>
      <c r="G98" s="11">
        <f>IF(OR(E98="",F98=""),"",NETWORKDAYS(E98,F98))</f>
        <v/>
      </c>
      <c r="H98" s="13" t="n">
        <v>0</v>
      </c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  <c r="AO98" s="14" t="n"/>
      <c r="AP98" s="14" t="n"/>
      <c r="AQ98" s="14" t="n"/>
      <c r="AR98" s="14" t="n"/>
      <c r="AS98" s="14" t="n"/>
      <c r="AT98" s="14" t="n"/>
      <c r="AU98" s="14" t="n"/>
      <c r="AV98" s="14" t="n"/>
      <c r="AW98" s="14" t="n"/>
      <c r="AX98" s="14" t="n"/>
      <c r="AY98" s="14" t="n"/>
      <c r="AZ98" s="14" t="n"/>
      <c r="BA98" s="14" t="n"/>
      <c r="BB98" s="14" t="n"/>
      <c r="BC98" s="14" t="n"/>
      <c r="BD98" s="14" t="n"/>
      <c r="BE98" s="14" t="n"/>
      <c r="BF98" s="14" t="n"/>
      <c r="BG98" s="14" t="n"/>
      <c r="BH98" s="14" t="n"/>
      <c r="BI98" s="14" t="n"/>
      <c r="BJ98" s="14" t="n"/>
      <c r="BK98" s="14" t="n"/>
      <c r="BL98" s="22" t="n"/>
      <c r="BM98" s="22" t="n"/>
      <c r="BN98" s="22" t="n"/>
      <c r="BO98" s="22" t="n"/>
      <c r="BP98" s="22" t="n"/>
    </row>
    <row r="99" ht="19.5" customHeight="1">
      <c r="B99" s="15" t="inlineStr">
        <is>
          <t>9.1</t>
        </is>
      </c>
      <c r="C99" s="16" t="inlineStr">
        <is>
          <t>Viết Test Plan: phạm vi, môi trường, mức độ nghiêm trọng S1..S4, tiêu chí vào/ra</t>
        </is>
      </c>
      <c r="D99" s="17" t="inlineStr">
        <is>
          <t>TEST</t>
        </is>
      </c>
      <c r="E99" s="18" t="n">
        <v>46279</v>
      </c>
      <c r="F99" s="19" t="n">
        <v>46281</v>
      </c>
      <c r="G99" s="17">
        <f>IF(OR(E99="",F99=""),"",NETWORKDAYS(E99,F99))</f>
        <v/>
      </c>
      <c r="H99" s="20" t="n">
        <v>0</v>
      </c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4" t="n"/>
      <c r="T99" s="24" t="n"/>
      <c r="U99" s="24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</row>
    <row r="100" ht="19.5" customHeight="1">
      <c r="B100" s="15" t="inlineStr">
        <is>
          <t>9.2</t>
        </is>
      </c>
      <c r="C100" s="16" t="inlineStr">
        <is>
          <t>Viết 40 test case TC-AUTH..TC-EXP trên Excel và dựng bộ dữ liệu kiểm thử</t>
        </is>
      </c>
      <c r="D100" s="17" t="inlineStr">
        <is>
          <t>TEST</t>
        </is>
      </c>
      <c r="E100" s="18" t="n">
        <v>46281</v>
      </c>
      <c r="F100" s="19" t="n">
        <v>46290</v>
      </c>
      <c r="G100" s="17">
        <f>IF(OR(E100="",F100=""),"",NETWORKDAYS(E100,F100))</f>
        <v/>
      </c>
      <c r="H100" s="20" t="n">
        <v>0</v>
      </c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</row>
    <row r="101" ht="19.5" customHeight="1">
      <c r="B101" s="15" t="inlineStr">
        <is>
          <t>9.3</t>
        </is>
      </c>
      <c r="C101" s="16" t="inlineStr">
        <is>
          <t>Xây Postman collection và Newman để chạy hồi quy API tự động</t>
        </is>
      </c>
      <c r="D101" s="17" t="inlineStr">
        <is>
          <t>TEST</t>
        </is>
      </c>
      <c r="E101" s="18" t="n">
        <v>46286</v>
      </c>
      <c r="F101" s="19" t="n">
        <v>46290</v>
      </c>
      <c r="G101" s="17">
        <f>IF(OR(E101="",F101=""),"",NETWORKDAYS(E101,F101))</f>
        <v/>
      </c>
      <c r="H101" s="20" t="n">
        <v>0</v>
      </c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4" t="n"/>
      <c r="Y101" s="24" t="n"/>
      <c r="Z101" s="24" t="n"/>
      <c r="AA101" s="24" t="n"/>
      <c r="AB101" s="24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</row>
    <row r="102" ht="19.5" customHeight="1">
      <c r="B102" s="15" t="inlineStr">
        <is>
          <t>9.4</t>
        </is>
      </c>
      <c r="C102" s="16" t="inlineStr">
        <is>
          <t>Kiểm thử API và giao diện cho từng User Story khi chuyển sang IN TESTING</t>
        </is>
      </c>
      <c r="D102" s="17" t="inlineStr">
        <is>
          <t>TEST</t>
        </is>
      </c>
      <c r="E102" s="18" t="n">
        <v>46293</v>
      </c>
      <c r="F102" s="19" t="n">
        <v>46332</v>
      </c>
      <c r="G102" s="17">
        <f>IF(OR(E102="",F102=""),"",NETWORKDAYS(E102,F102))</f>
        <v/>
      </c>
      <c r="H102" s="20" t="n">
        <v>0</v>
      </c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4" t="n"/>
      <c r="AD102" s="24" t="n"/>
      <c r="AE102" s="24" t="n"/>
      <c r="AF102" s="24" t="n"/>
      <c r="AG102" s="24" t="n"/>
      <c r="AH102" s="24" t="n"/>
      <c r="AI102" s="24" t="n"/>
      <c r="AJ102" s="24" t="n"/>
      <c r="AK102" s="24" t="n"/>
      <c r="AL102" s="24" t="n"/>
      <c r="AM102" s="24" t="n"/>
      <c r="AN102" s="24" t="n"/>
      <c r="AO102" s="24" t="n"/>
      <c r="AP102" s="24" t="n"/>
      <c r="AQ102" s="24" t="n"/>
      <c r="AR102" s="24" t="n"/>
      <c r="AS102" s="24" t="n"/>
      <c r="AT102" s="24" t="n"/>
      <c r="AU102" s="24" t="n"/>
      <c r="AV102" s="24" t="n"/>
      <c r="AW102" s="24" t="n"/>
      <c r="AX102" s="24" t="n"/>
      <c r="AY102" s="24" t="n"/>
      <c r="AZ102" s="24" t="n"/>
      <c r="BA102" s="24" t="n"/>
      <c r="BB102" s="24" t="n"/>
      <c r="BC102" s="24" t="n"/>
      <c r="BD102" s="24" t="n"/>
      <c r="BE102" s="24" t="n"/>
      <c r="BF102" s="24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</row>
    <row r="103" ht="19.5" customHeight="1">
      <c r="B103" s="15" t="inlineStr">
        <is>
          <t>9.5</t>
        </is>
      </c>
      <c r="C103" s="16" t="inlineStr">
        <is>
          <t>Ghi Bug lên Jira kèm severity, bước tái hiện, evidence và xác minh bản vá</t>
        </is>
      </c>
      <c r="D103" s="17" t="inlineStr">
        <is>
          <t>TEST</t>
        </is>
      </c>
      <c r="E103" s="18" t="n">
        <v>46293</v>
      </c>
      <c r="F103" s="19" t="n">
        <v>46339</v>
      </c>
      <c r="G103" s="17">
        <f>IF(OR(E103="",F103=""),"",NETWORKDAYS(E103,F103))</f>
        <v/>
      </c>
      <c r="H103" s="20" t="n">
        <v>0</v>
      </c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4" t="n"/>
      <c r="AD103" s="24" t="n"/>
      <c r="AE103" s="24" t="n"/>
      <c r="AF103" s="24" t="n"/>
      <c r="AG103" s="24" t="n"/>
      <c r="AH103" s="24" t="n"/>
      <c r="AI103" s="24" t="n"/>
      <c r="AJ103" s="24" t="n"/>
      <c r="AK103" s="24" t="n"/>
      <c r="AL103" s="24" t="n"/>
      <c r="AM103" s="24" t="n"/>
      <c r="AN103" s="24" t="n"/>
      <c r="AO103" s="24" t="n"/>
      <c r="AP103" s="24" t="n"/>
      <c r="AQ103" s="24" t="n"/>
      <c r="AR103" s="24" t="n"/>
      <c r="AS103" s="24" t="n"/>
      <c r="AT103" s="24" t="n"/>
      <c r="AU103" s="24" t="n"/>
      <c r="AV103" s="24" t="n"/>
      <c r="AW103" s="24" t="n"/>
      <c r="AX103" s="24" t="n"/>
      <c r="AY103" s="24" t="n"/>
      <c r="AZ103" s="24" t="n"/>
      <c r="BA103" s="24" t="n"/>
      <c r="BB103" s="24" t="n"/>
      <c r="BC103" s="24" t="n"/>
      <c r="BD103" s="24" t="n"/>
      <c r="BE103" s="24" t="n"/>
      <c r="BF103" s="24" t="n"/>
      <c r="BG103" s="24" t="n"/>
      <c r="BH103" s="24" t="n"/>
      <c r="BI103" s="24" t="n"/>
      <c r="BJ103" s="24" t="n"/>
      <c r="BK103" s="24" t="n"/>
      <c r="BL103" s="22" t="n"/>
      <c r="BM103" s="22" t="n"/>
      <c r="BN103" s="22" t="n"/>
      <c r="BO103" s="22" t="n"/>
      <c r="BP103" s="22" t="n"/>
    </row>
    <row r="104" ht="19.5" customHeight="1">
      <c r="B104" s="15" t="inlineStr">
        <is>
          <t>9.6</t>
        </is>
      </c>
      <c r="C104" s="16" t="inlineStr">
        <is>
          <t>Tự động hóa 5 luồng chính bằng Selenium WebDriver</t>
        </is>
      </c>
      <c r="D104" s="17" t="inlineStr">
        <is>
          <t>TEST</t>
        </is>
      </c>
      <c r="E104" s="18" t="n">
        <v>46321</v>
      </c>
      <c r="F104" s="19" t="n">
        <v>46332</v>
      </c>
      <c r="G104" s="17">
        <f>IF(OR(E104="",F104=""),"",NETWORKDAYS(E104,F104))</f>
        <v/>
      </c>
      <c r="H104" s="20" t="n">
        <v>0</v>
      </c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4" t="n"/>
      <c r="AX104" s="24" t="n"/>
      <c r="AY104" s="24" t="n"/>
      <c r="AZ104" s="24" t="n"/>
      <c r="BA104" s="24" t="n"/>
      <c r="BB104" s="24" t="n"/>
      <c r="BC104" s="24" t="n"/>
      <c r="BD104" s="24" t="n"/>
      <c r="BE104" s="24" t="n"/>
      <c r="BF104" s="24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</row>
    <row r="105" ht="19.5" customHeight="1">
      <c r="B105" s="15" t="inlineStr">
        <is>
          <t>9.7</t>
        </is>
      </c>
      <c r="C105" s="16" t="inlineStr">
        <is>
          <t>Chạy hồi quy toàn bộ luồng Critical và High bằng Newman + Selenium + kiểm thử tay</t>
        </is>
      </c>
      <c r="D105" s="17" t="inlineStr">
        <is>
          <t>TEST</t>
        </is>
      </c>
      <c r="E105" s="18" t="n">
        <v>46335</v>
      </c>
      <c r="F105" s="19" t="n">
        <v>46337</v>
      </c>
      <c r="G105" s="17">
        <f>IF(OR(E105="",F105=""),"",NETWORKDAYS(E105,F105))</f>
        <v/>
      </c>
      <c r="H105" s="20" t="n">
        <v>0</v>
      </c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1" t="n"/>
      <c r="BH105" s="21" t="n"/>
      <c r="BI105" s="21" t="n"/>
      <c r="BJ105" s="22" t="n"/>
      <c r="BK105" s="22" t="n"/>
      <c r="BL105" s="22" t="n"/>
      <c r="BM105" s="22" t="n"/>
      <c r="BN105" s="22" t="n"/>
      <c r="BO105" s="22" t="n"/>
      <c r="BP105" s="22" t="n"/>
    </row>
    <row r="106" ht="19.5" customHeight="1">
      <c r="B106" s="9" t="inlineStr">
        <is>
          <t>10</t>
        </is>
      </c>
      <c r="C106" s="10" t="inlineStr">
        <is>
          <t>Sprint 5 - Ổn định, nghiệm thu và phát hành</t>
        </is>
      </c>
      <c r="D106" s="11" t="inlineStr">
        <is>
          <t>PM</t>
        </is>
      </c>
      <c r="E106" s="12" t="n">
        <v>46335</v>
      </c>
      <c r="F106" s="12" t="n">
        <v>46346</v>
      </c>
      <c r="G106" s="11">
        <f>IF(OR(E106="",F106=""),"",NETWORKDAYS(E106,F106))</f>
        <v/>
      </c>
      <c r="H106" s="13" t="n">
        <v>0</v>
      </c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22" t="n"/>
      <c r="AR106" s="22" t="n"/>
      <c r="AS106" s="22" t="n"/>
      <c r="AT106" s="22" t="n"/>
      <c r="AU106" s="22" t="n"/>
      <c r="AV106" s="22" t="n"/>
      <c r="AW106" s="22" t="n"/>
      <c r="AX106" s="22" t="n"/>
      <c r="AY106" s="22" t="n"/>
      <c r="AZ106" s="22" t="n"/>
      <c r="BA106" s="22" t="n"/>
      <c r="BB106" s="22" t="n"/>
      <c r="BC106" s="22" t="n"/>
      <c r="BD106" s="22" t="n"/>
      <c r="BE106" s="22" t="n"/>
      <c r="BF106" s="22" t="n"/>
      <c r="BG106" s="14" t="n"/>
      <c r="BH106" s="14" t="n"/>
      <c r="BI106" s="14" t="n"/>
      <c r="BJ106" s="14" t="n"/>
      <c r="BK106" s="14" t="n"/>
      <c r="BL106" s="14" t="n"/>
      <c r="BM106" s="14" t="n"/>
      <c r="BN106" s="14" t="n"/>
      <c r="BO106" s="14" t="n"/>
      <c r="BP106" s="14" t="n"/>
    </row>
    <row r="107" ht="19.5" customHeight="1">
      <c r="B107" s="15" t="inlineStr">
        <is>
          <t>10.1</t>
        </is>
      </c>
      <c r="C107" s="16" t="inlineStr">
        <is>
          <t>Sửa dứt điểm bug S1, S2 phía backend và cập nhật trạng thái trên Jira</t>
        </is>
      </c>
      <c r="D107" s="17" t="inlineStr">
        <is>
          <t>BE</t>
        </is>
      </c>
      <c r="E107" s="18" t="n">
        <v>46335</v>
      </c>
      <c r="F107" s="19" t="n">
        <v>46338</v>
      </c>
      <c r="G107" s="17">
        <f>IF(OR(E107="",F107=""),"",NETWORKDAYS(E107,F107))</f>
        <v/>
      </c>
      <c r="H107" s="20" t="n">
        <v>0</v>
      </c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22" t="n"/>
      <c r="AR107" s="22" t="n"/>
      <c r="AS107" s="22" t="n"/>
      <c r="AT107" s="22" t="n"/>
      <c r="AU107" s="22" t="n"/>
      <c r="AV107" s="22" t="n"/>
      <c r="AW107" s="22" t="n"/>
      <c r="AX107" s="22" t="n"/>
      <c r="AY107" s="22" t="n"/>
      <c r="AZ107" s="22" t="n"/>
      <c r="BA107" s="22" t="n"/>
      <c r="BB107" s="22" t="n"/>
      <c r="BC107" s="22" t="n"/>
      <c r="BD107" s="22" t="n"/>
      <c r="BE107" s="22" t="n"/>
      <c r="BF107" s="22" t="n"/>
      <c r="BG107" s="21" t="n"/>
      <c r="BH107" s="21" t="n"/>
      <c r="BI107" s="21" t="n"/>
      <c r="BJ107" s="21" t="n"/>
      <c r="BK107" s="22" t="n"/>
      <c r="BL107" s="22" t="n"/>
      <c r="BM107" s="22" t="n"/>
      <c r="BN107" s="22" t="n"/>
      <c r="BO107" s="22" t="n"/>
      <c r="BP107" s="22" t="n"/>
    </row>
    <row r="108" ht="19.5" customHeight="1">
      <c r="B108" s="15" t="inlineStr">
        <is>
          <t>10.2</t>
        </is>
      </c>
      <c r="C108" s="16" t="inlineStr">
        <is>
          <t>Sửa dứt điểm bug S1, S2 phía frontend và cập nhật trạng thái trên Jira</t>
        </is>
      </c>
      <c r="D108" s="17" t="inlineStr">
        <is>
          <t>FE</t>
        </is>
      </c>
      <c r="E108" s="18" t="n">
        <v>46335</v>
      </c>
      <c r="F108" s="19" t="n">
        <v>46338</v>
      </c>
      <c r="G108" s="17">
        <f>IF(OR(E108="",F108=""),"",NETWORKDAYS(E108,F108))</f>
        <v/>
      </c>
      <c r="H108" s="20" t="n">
        <v>0</v>
      </c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  <c r="AM108" s="22" t="n"/>
      <c r="AN108" s="22" t="n"/>
      <c r="AO108" s="22" t="n"/>
      <c r="AP108" s="22" t="n"/>
      <c r="AQ108" s="22" t="n"/>
      <c r="AR108" s="22" t="n"/>
      <c r="AS108" s="22" t="n"/>
      <c r="AT108" s="22" t="n"/>
      <c r="AU108" s="22" t="n"/>
      <c r="AV108" s="22" t="n"/>
      <c r="AW108" s="22" t="n"/>
      <c r="AX108" s="22" t="n"/>
      <c r="AY108" s="22" t="n"/>
      <c r="AZ108" s="22" t="n"/>
      <c r="BA108" s="22" t="n"/>
      <c r="BB108" s="22" t="n"/>
      <c r="BC108" s="22" t="n"/>
      <c r="BD108" s="22" t="n"/>
      <c r="BE108" s="22" t="n"/>
      <c r="BF108" s="22" t="n"/>
      <c r="BG108" s="23" t="n"/>
      <c r="BH108" s="23" t="n"/>
      <c r="BI108" s="23" t="n"/>
      <c r="BJ108" s="23" t="n"/>
      <c r="BK108" s="22" t="n"/>
      <c r="BL108" s="22" t="n"/>
      <c r="BM108" s="22" t="n"/>
      <c r="BN108" s="22" t="n"/>
      <c r="BO108" s="22" t="n"/>
      <c r="BP108" s="22" t="n"/>
    </row>
    <row r="109" ht="19.5" customHeight="1">
      <c r="B109" s="15" t="inlineStr">
        <is>
          <t>10.3</t>
        </is>
      </c>
      <c r="C109" s="16" t="inlineStr">
        <is>
          <t>Tối ưu truy vấn chậm và rà soát bảo mật cơ bản theo OWASP Top 10</t>
        </is>
      </c>
      <c r="D109" s="17" t="inlineStr">
        <is>
          <t>BE</t>
        </is>
      </c>
      <c r="E109" s="18" t="n">
        <v>46336</v>
      </c>
      <c r="F109" s="19" t="n">
        <v>46337</v>
      </c>
      <c r="G109" s="17">
        <f>IF(OR(E109="",F109=""),"",NETWORKDAYS(E109,F109))</f>
        <v/>
      </c>
      <c r="H109" s="20" t="n">
        <v>0</v>
      </c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22" t="n"/>
      <c r="AS109" s="22" t="n"/>
      <c r="AT109" s="22" t="n"/>
      <c r="AU109" s="22" t="n"/>
      <c r="AV109" s="22" t="n"/>
      <c r="AW109" s="22" t="n"/>
      <c r="AX109" s="22" t="n"/>
      <c r="AY109" s="22" t="n"/>
      <c r="AZ109" s="22" t="n"/>
      <c r="BA109" s="22" t="n"/>
      <c r="BB109" s="22" t="n"/>
      <c r="BC109" s="22" t="n"/>
      <c r="BD109" s="22" t="n"/>
      <c r="BE109" s="22" t="n"/>
      <c r="BF109" s="22" t="n"/>
      <c r="BG109" s="22" t="n"/>
      <c r="BH109" s="23" t="n"/>
      <c r="BI109" s="23" t="n"/>
      <c r="BJ109" s="22" t="n"/>
      <c r="BK109" s="22" t="n"/>
      <c r="BL109" s="22" t="n"/>
      <c r="BM109" s="22" t="n"/>
      <c r="BN109" s="22" t="n"/>
      <c r="BO109" s="22" t="n"/>
      <c r="BP109" s="22" t="n"/>
    </row>
    <row r="110" ht="19.5" customHeight="1">
      <c r="B110" s="15" t="inlineStr">
        <is>
          <t>10.4</t>
        </is>
      </c>
      <c r="C110" s="16" t="inlineStr">
        <is>
          <t>Tạo nhánh release, gắn tag v1.0.0 và chạy thử migration Flyway trên bản backup</t>
        </is>
      </c>
      <c r="D110" s="17" t="inlineStr">
        <is>
          <t>BE</t>
        </is>
      </c>
      <c r="E110" s="18" t="n">
        <v>46337</v>
      </c>
      <c r="F110" s="19" t="n">
        <v>46339</v>
      </c>
      <c r="G110" s="17">
        <f>IF(OR(E110="",F110=""),"",NETWORKDAYS(E110,F110))</f>
        <v/>
      </c>
      <c r="H110" s="20" t="n">
        <v>0</v>
      </c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22" t="n"/>
      <c r="AS110" s="22" t="n"/>
      <c r="AT110" s="22" t="n"/>
      <c r="AU110" s="22" t="n"/>
      <c r="AV110" s="22" t="n"/>
      <c r="AW110" s="22" t="n"/>
      <c r="AX110" s="22" t="n"/>
      <c r="AY110" s="22" t="n"/>
      <c r="AZ110" s="22" t="n"/>
      <c r="BA110" s="22" t="n"/>
      <c r="BB110" s="22" t="n"/>
      <c r="BC110" s="22" t="n"/>
      <c r="BD110" s="22" t="n"/>
      <c r="BE110" s="22" t="n"/>
      <c r="BF110" s="22" t="n"/>
      <c r="BG110" s="22" t="n"/>
      <c r="BH110" s="22" t="n"/>
      <c r="BI110" s="21" t="n"/>
      <c r="BJ110" s="21" t="n"/>
      <c r="BK110" s="21" t="n"/>
      <c r="BL110" s="22" t="n"/>
      <c r="BM110" s="22" t="n"/>
      <c r="BN110" s="22" t="n"/>
      <c r="BO110" s="22" t="n"/>
      <c r="BP110" s="22" t="n"/>
    </row>
    <row r="111" ht="19.5" customHeight="1">
      <c r="B111" s="15" t="inlineStr">
        <is>
          <t>10.5</t>
        </is>
      </c>
      <c r="C111" s="16" t="inlineStr">
        <is>
          <t>Triển khai môi trường UAT bằng Docker Compose và nạp dữ liệu gần thực tế</t>
        </is>
      </c>
      <c r="D111" s="17" t="inlineStr">
        <is>
          <t>BE</t>
        </is>
      </c>
      <c r="E111" s="18" t="n">
        <v>46338</v>
      </c>
      <c r="F111" s="19" t="n">
        <v>46339</v>
      </c>
      <c r="G111" s="17">
        <f>IF(OR(E111="",F111=""),"",NETWORKDAYS(E111,F111))</f>
        <v/>
      </c>
      <c r="H111" s="20" t="n">
        <v>0</v>
      </c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2" t="n"/>
      <c r="AM111" s="22" t="n"/>
      <c r="AN111" s="22" t="n"/>
      <c r="AO111" s="22" t="n"/>
      <c r="AP111" s="22" t="n"/>
      <c r="AQ111" s="22" t="n"/>
      <c r="AR111" s="22" t="n"/>
      <c r="AS111" s="22" t="n"/>
      <c r="AT111" s="22" t="n"/>
      <c r="AU111" s="22" t="n"/>
      <c r="AV111" s="22" t="n"/>
      <c r="AW111" s="22" t="n"/>
      <c r="AX111" s="22" t="n"/>
      <c r="AY111" s="22" t="n"/>
      <c r="AZ111" s="22" t="n"/>
      <c r="BA111" s="22" t="n"/>
      <c r="BB111" s="22" t="n"/>
      <c r="BC111" s="22" t="n"/>
      <c r="BD111" s="22" t="n"/>
      <c r="BE111" s="22" t="n"/>
      <c r="BF111" s="22" t="n"/>
      <c r="BG111" s="22" t="n"/>
      <c r="BH111" s="22" t="n"/>
      <c r="BI111" s="22" t="n"/>
      <c r="BJ111" s="23" t="n"/>
      <c r="BK111" s="23" t="n"/>
      <c r="BL111" s="22" t="n"/>
      <c r="BM111" s="22" t="n"/>
      <c r="BN111" s="22" t="n"/>
      <c r="BO111" s="22" t="n"/>
      <c r="BP111" s="22" t="n"/>
    </row>
    <row r="112" ht="19.5" customHeight="1">
      <c r="B112" s="15" t="inlineStr">
        <is>
          <t>10.6</t>
        </is>
      </c>
      <c r="C112" s="16" t="inlineStr">
        <is>
          <t>Điều phối UAT: chạy 8 kịch bản UAT-01..UAT-08 với người dùng đại diện</t>
        </is>
      </c>
      <c r="D112" s="17" t="inlineStr">
        <is>
          <t>BA</t>
        </is>
      </c>
      <c r="E112" s="18" t="n">
        <v>46342</v>
      </c>
      <c r="F112" s="19" t="n">
        <v>46343</v>
      </c>
      <c r="G112" s="17">
        <f>IF(OR(E112="",F112=""),"",NETWORKDAYS(E112,F112))</f>
        <v/>
      </c>
      <c r="H112" s="20" t="n">
        <v>0</v>
      </c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  <c r="AM112" s="22" t="n"/>
      <c r="AN112" s="22" t="n"/>
      <c r="AO112" s="22" t="n"/>
      <c r="AP112" s="22" t="n"/>
      <c r="AQ112" s="22" t="n"/>
      <c r="AR112" s="22" t="n"/>
      <c r="AS112" s="22" t="n"/>
      <c r="AT112" s="22" t="n"/>
      <c r="AU112" s="22" t="n"/>
      <c r="AV112" s="22" t="n"/>
      <c r="AW112" s="22" t="n"/>
      <c r="AX112" s="22" t="n"/>
      <c r="AY112" s="22" t="n"/>
      <c r="AZ112" s="22" t="n"/>
      <c r="BA112" s="22" t="n"/>
      <c r="BB112" s="22" t="n"/>
      <c r="BC112" s="22" t="n"/>
      <c r="BD112" s="22" t="n"/>
      <c r="BE112" s="22" t="n"/>
      <c r="BF112" s="22" t="n"/>
      <c r="BG112" s="22" t="n"/>
      <c r="BH112" s="22" t="n"/>
      <c r="BI112" s="22" t="n"/>
      <c r="BJ112" s="22" t="n"/>
      <c r="BK112" s="22" t="n"/>
      <c r="BL112" s="21" t="n"/>
      <c r="BM112" s="21" t="n"/>
      <c r="BN112" s="22" t="n"/>
      <c r="BO112" s="22" t="n"/>
      <c r="BP112" s="22" t="n"/>
    </row>
    <row r="113" ht="19.5" customHeight="1">
      <c r="B113" s="15" t="inlineStr">
        <is>
          <t>10.7</t>
        </is>
      </c>
      <c r="C113" s="16" t="inlineStr">
        <is>
          <t>Ghi nhận kết quả UAT, phân loại lỗi S1..S4 và xác minh bản vá</t>
        </is>
      </c>
      <c r="D113" s="17" t="inlineStr">
        <is>
          <t>TEST</t>
        </is>
      </c>
      <c r="E113" s="18" t="n">
        <v>46342</v>
      </c>
      <c r="F113" s="19" t="n">
        <v>46343</v>
      </c>
      <c r="G113" s="17">
        <f>IF(OR(E113="",F113=""),"",NETWORKDAYS(E113,F113))</f>
        <v/>
      </c>
      <c r="H113" s="20" t="n">
        <v>0</v>
      </c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2" t="n"/>
      <c r="AM113" s="22" t="n"/>
      <c r="AN113" s="22" t="n"/>
      <c r="AO113" s="22" t="n"/>
      <c r="AP113" s="22" t="n"/>
      <c r="AQ113" s="22" t="n"/>
      <c r="AR113" s="22" t="n"/>
      <c r="AS113" s="22" t="n"/>
      <c r="AT113" s="22" t="n"/>
      <c r="AU113" s="22" t="n"/>
      <c r="AV113" s="22" t="n"/>
      <c r="AW113" s="22" t="n"/>
      <c r="AX113" s="22" t="n"/>
      <c r="AY113" s="22" t="n"/>
      <c r="AZ113" s="22" t="n"/>
      <c r="BA113" s="22" t="n"/>
      <c r="BB113" s="22" t="n"/>
      <c r="BC113" s="22" t="n"/>
      <c r="BD113" s="22" t="n"/>
      <c r="BE113" s="22" t="n"/>
      <c r="BF113" s="22" t="n"/>
      <c r="BG113" s="22" t="n"/>
      <c r="BH113" s="22" t="n"/>
      <c r="BI113" s="22" t="n"/>
      <c r="BJ113" s="22" t="n"/>
      <c r="BK113" s="22" t="n"/>
      <c r="BL113" s="24" t="n"/>
      <c r="BM113" s="24" t="n"/>
      <c r="BN113" s="22" t="n"/>
      <c r="BO113" s="22" t="n"/>
      <c r="BP113" s="22" t="n"/>
    </row>
    <row r="114" ht="19.5" customHeight="1">
      <c r="B114" s="15" t="inlineStr">
        <is>
          <t>10.8</t>
        </is>
      </c>
      <c r="C114" s="16" t="inlineStr">
        <is>
          <t>Tổng hợp phản hồi UAT, cập nhật RTM và lấy biên bản UAT Sign-off</t>
        </is>
      </c>
      <c r="D114" s="17" t="inlineStr">
        <is>
          <t>BA</t>
        </is>
      </c>
      <c r="E114" s="18" t="n">
        <v>46343</v>
      </c>
      <c r="F114" s="19" t="n">
        <v>46344</v>
      </c>
      <c r="G114" s="17">
        <f>IF(OR(E114="",F114=""),"",NETWORKDAYS(E114,F114))</f>
        <v/>
      </c>
      <c r="H114" s="20" t="n">
        <v>0</v>
      </c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2" t="n"/>
      <c r="AM114" s="22" t="n"/>
      <c r="AN114" s="22" t="n"/>
      <c r="AO114" s="22" t="n"/>
      <c r="AP114" s="22" t="n"/>
      <c r="AQ114" s="22" t="n"/>
      <c r="AR114" s="22" t="n"/>
      <c r="AS114" s="22" t="n"/>
      <c r="AT114" s="22" t="n"/>
      <c r="AU114" s="22" t="n"/>
      <c r="AV114" s="22" t="n"/>
      <c r="AW114" s="22" t="n"/>
      <c r="AX114" s="22" t="n"/>
      <c r="AY114" s="22" t="n"/>
      <c r="AZ114" s="22" t="n"/>
      <c r="BA114" s="22" t="n"/>
      <c r="BB114" s="22" t="n"/>
      <c r="BC114" s="22" t="n"/>
      <c r="BD114" s="22" t="n"/>
      <c r="BE114" s="22" t="n"/>
      <c r="BF114" s="22" t="n"/>
      <c r="BG114" s="22" t="n"/>
      <c r="BH114" s="22" t="n"/>
      <c r="BI114" s="22" t="n"/>
      <c r="BJ114" s="22" t="n"/>
      <c r="BK114" s="22" t="n"/>
      <c r="BL114" s="22" t="n"/>
      <c r="BM114" s="23" t="n"/>
      <c r="BN114" s="23" t="n"/>
      <c r="BO114" s="22" t="n"/>
      <c r="BP114" s="22" t="n"/>
    </row>
    <row r="115" ht="19.5" customHeight="1">
      <c r="B115" s="15" t="inlineStr">
        <is>
          <t>10.9</t>
        </is>
      </c>
      <c r="C115" s="16" t="inlineStr">
        <is>
          <t>Viết Release Notes, Deployment Guide, cập nhật Swagger và README</t>
        </is>
      </c>
      <c r="D115" s="17" t="inlineStr">
        <is>
          <t>BE</t>
        </is>
      </c>
      <c r="E115" s="18" t="n">
        <v>46344</v>
      </c>
      <c r="F115" s="19" t="n">
        <v>46345</v>
      </c>
      <c r="G115" s="17">
        <f>IF(OR(E115="",F115=""),"",NETWORKDAYS(E115,F115))</f>
        <v/>
      </c>
      <c r="H115" s="20" t="n">
        <v>0</v>
      </c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2" t="n"/>
      <c r="AM115" s="22" t="n"/>
      <c r="AN115" s="22" t="n"/>
      <c r="AO115" s="22" t="n"/>
      <c r="AP115" s="22" t="n"/>
      <c r="AQ115" s="22" t="n"/>
      <c r="AR115" s="22" t="n"/>
      <c r="AS115" s="22" t="n"/>
      <c r="AT115" s="22" t="n"/>
      <c r="AU115" s="22" t="n"/>
      <c r="AV115" s="22" t="n"/>
      <c r="AW115" s="22" t="n"/>
      <c r="AX115" s="22" t="n"/>
      <c r="AY115" s="22" t="n"/>
      <c r="AZ115" s="22" t="n"/>
      <c r="BA115" s="22" t="n"/>
      <c r="BB115" s="22" t="n"/>
      <c r="BC115" s="22" t="n"/>
      <c r="BD115" s="22" t="n"/>
      <c r="BE115" s="22" t="n"/>
      <c r="BF115" s="22" t="n"/>
      <c r="BG115" s="22" t="n"/>
      <c r="BH115" s="22" t="n"/>
      <c r="BI115" s="22" t="n"/>
      <c r="BJ115" s="22" t="n"/>
      <c r="BK115" s="22" t="n"/>
      <c r="BL115" s="22" t="n"/>
      <c r="BM115" s="22" t="n"/>
      <c r="BN115" s="23" t="n"/>
      <c r="BO115" s="23" t="n"/>
      <c r="BP115" s="22" t="n"/>
    </row>
    <row r="116" ht="19.5" customHeight="1">
      <c r="B116" s="15" t="inlineStr">
        <is>
          <t>10.10</t>
        </is>
      </c>
      <c r="C116" s="16" t="inlineStr">
        <is>
          <t>Viết User Manual cho 3 nhóm người dùng kèm ảnh màn hình UI-01..UI-12</t>
        </is>
      </c>
      <c r="D116" s="17" t="inlineStr">
        <is>
          <t>BA</t>
        </is>
      </c>
      <c r="E116" s="18" t="n">
        <v>46344</v>
      </c>
      <c r="F116" s="19" t="n">
        <v>46345</v>
      </c>
      <c r="G116" s="17">
        <f>IF(OR(E116="",F116=""),"",NETWORKDAYS(E116,F116))</f>
        <v/>
      </c>
      <c r="H116" s="20" t="n">
        <v>0</v>
      </c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2" t="n"/>
      <c r="AM116" s="22" t="n"/>
      <c r="AN116" s="22" t="n"/>
      <c r="AO116" s="22" t="n"/>
      <c r="AP116" s="22" t="n"/>
      <c r="AQ116" s="22" t="n"/>
      <c r="AR116" s="22" t="n"/>
      <c r="AS116" s="22" t="n"/>
      <c r="AT116" s="22" t="n"/>
      <c r="AU116" s="22" t="n"/>
      <c r="AV116" s="22" t="n"/>
      <c r="AW116" s="22" t="n"/>
      <c r="AX116" s="22" t="n"/>
      <c r="AY116" s="22" t="n"/>
      <c r="AZ116" s="22" t="n"/>
      <c r="BA116" s="22" t="n"/>
      <c r="BB116" s="22" t="n"/>
      <c r="BC116" s="22" t="n"/>
      <c r="BD116" s="22" t="n"/>
      <c r="BE116" s="22" t="n"/>
      <c r="BF116" s="22" t="n"/>
      <c r="BG116" s="22" t="n"/>
      <c r="BH116" s="22" t="n"/>
      <c r="BI116" s="22" t="n"/>
      <c r="BJ116" s="22" t="n"/>
      <c r="BK116" s="22" t="n"/>
      <c r="BL116" s="22" t="n"/>
      <c r="BM116" s="22" t="n"/>
      <c r="BN116" s="23" t="n"/>
      <c r="BO116" s="23" t="n"/>
      <c r="BP116" s="22" t="n"/>
    </row>
    <row r="117" ht="19.5" customHeight="1">
      <c r="B117" s="15" t="inlineStr">
        <is>
          <t>10.11</t>
        </is>
      </c>
      <c r="C117" s="16" t="inlineStr">
        <is>
          <t>Sao lưu database, repository và đóng gói mã nguồn bàn giao</t>
        </is>
      </c>
      <c r="D117" s="17" t="inlineStr">
        <is>
          <t>BE</t>
        </is>
      </c>
      <c r="E117" s="18" t="n">
        <v>46345</v>
      </c>
      <c r="F117" s="19" t="n">
        <v>46345</v>
      </c>
      <c r="G117" s="17">
        <f>IF(OR(E117="",F117=""),"",NETWORKDAYS(E117,F117))</f>
        <v/>
      </c>
      <c r="H117" s="20" t="n">
        <v>0</v>
      </c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2" t="n"/>
      <c r="AM117" s="22" t="n"/>
      <c r="AN117" s="22" t="n"/>
      <c r="AO117" s="22" t="n"/>
      <c r="AP117" s="22" t="n"/>
      <c r="AQ117" s="22" t="n"/>
      <c r="AR117" s="22" t="n"/>
      <c r="AS117" s="22" t="n"/>
      <c r="AT117" s="22" t="n"/>
      <c r="AU117" s="22" t="n"/>
      <c r="AV117" s="22" t="n"/>
      <c r="AW117" s="22" t="n"/>
      <c r="AX117" s="22" t="n"/>
      <c r="AY117" s="22" t="n"/>
      <c r="AZ117" s="22" t="n"/>
      <c r="BA117" s="22" t="n"/>
      <c r="BB117" s="22" t="n"/>
      <c r="BC117" s="22" t="n"/>
      <c r="BD117" s="22" t="n"/>
      <c r="BE117" s="22" t="n"/>
      <c r="BF117" s="22" t="n"/>
      <c r="BG117" s="22" t="n"/>
      <c r="BH117" s="22" t="n"/>
      <c r="BI117" s="22" t="n"/>
      <c r="BJ117" s="22" t="n"/>
      <c r="BK117" s="22" t="n"/>
      <c r="BL117" s="22" t="n"/>
      <c r="BM117" s="22" t="n"/>
      <c r="BN117" s="22" t="n"/>
      <c r="BO117" s="23" t="n"/>
      <c r="BP117" s="22" t="n"/>
    </row>
    <row r="118" ht="19.5" customHeight="1">
      <c r="B118" s="15" t="inlineStr">
        <is>
          <t>10.12</t>
        </is>
      </c>
      <c r="C118" s="16" t="inlineStr">
        <is>
          <t>Trình bày nghiệm thu: demo 15 phút, evidence Jira/GitHub, so sánh baseline và thực tế</t>
        </is>
      </c>
      <c r="D118" s="17" t="inlineStr">
        <is>
          <t>PM</t>
        </is>
      </c>
      <c r="E118" s="18" t="n">
        <v>46346</v>
      </c>
      <c r="F118" s="19" t="n">
        <v>46346</v>
      </c>
      <c r="G118" s="17">
        <f>IF(OR(E118="",F118=""),"",NETWORKDAYS(E118,F118))</f>
        <v/>
      </c>
      <c r="H118" s="20" t="n">
        <v>0</v>
      </c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2" t="n"/>
      <c r="AM118" s="22" t="n"/>
      <c r="AN118" s="22" t="n"/>
      <c r="AO118" s="22" t="n"/>
      <c r="AP118" s="22" t="n"/>
      <c r="AQ118" s="22" t="n"/>
      <c r="AR118" s="22" t="n"/>
      <c r="AS118" s="22" t="n"/>
      <c r="AT118" s="22" t="n"/>
      <c r="AU118" s="22" t="n"/>
      <c r="AV118" s="22" t="n"/>
      <c r="AW118" s="22" t="n"/>
      <c r="AX118" s="22" t="n"/>
      <c r="AY118" s="22" t="n"/>
      <c r="AZ118" s="22" t="n"/>
      <c r="BA118" s="22" t="n"/>
      <c r="BB118" s="22" t="n"/>
      <c r="BC118" s="22" t="n"/>
      <c r="BD118" s="22" t="n"/>
      <c r="BE118" s="22" t="n"/>
      <c r="BF118" s="22" t="n"/>
      <c r="BG118" s="22" t="n"/>
      <c r="BH118" s="22" t="n"/>
      <c r="BI118" s="22" t="n"/>
      <c r="BJ118" s="22" t="n"/>
      <c r="BK118" s="22" t="n"/>
      <c r="BL118" s="22" t="n"/>
      <c r="BM118" s="22" t="n"/>
      <c r="BN118" s="22" t="n"/>
      <c r="BO118" s="22" t="n"/>
      <c r="BP118" s="21" t="n"/>
    </row>
    <row r="119" ht="19.5" customHeight="1">
      <c r="B119" s="9" t="inlineStr">
        <is>
          <t>11</t>
        </is>
      </c>
      <c r="C119" s="10" t="inlineStr">
        <is>
          <t>Mốc kiểm soát dự án</t>
        </is>
      </c>
      <c r="D119" s="11" t="inlineStr">
        <is>
          <t>PM</t>
        </is>
      </c>
      <c r="E119" s="12" t="n">
        <v>46276</v>
      </c>
      <c r="F119" s="12" t="n">
        <v>46346</v>
      </c>
      <c r="G119" s="11">
        <f>IF(OR(E119="",F119=""),"",NETWORKDAYS(E119,F119))</f>
        <v/>
      </c>
      <c r="H119" s="13" t="n">
        <v>0</v>
      </c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5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5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5" t="n"/>
      <c r="AM119" s="22" t="n"/>
      <c r="AN119" s="22" t="n"/>
      <c r="AO119" s="22" t="n"/>
      <c r="AP119" s="22" t="n"/>
      <c r="AQ119" s="22" t="n"/>
      <c r="AR119" s="22" t="n"/>
      <c r="AS119" s="22" t="n"/>
      <c r="AT119" s="22" t="n"/>
      <c r="AU119" s="22" t="n"/>
      <c r="AV119" s="25" t="n"/>
      <c r="AW119" s="22" t="n"/>
      <c r="AX119" s="22" t="n"/>
      <c r="AY119" s="22" t="n"/>
      <c r="AZ119" s="22" t="n"/>
      <c r="BA119" s="22" t="n"/>
      <c r="BB119" s="22" t="n"/>
      <c r="BC119" s="22" t="n"/>
      <c r="BD119" s="22" t="n"/>
      <c r="BE119" s="22" t="n"/>
      <c r="BF119" s="25" t="n"/>
      <c r="BG119" s="22" t="n"/>
      <c r="BH119" s="22" t="n"/>
      <c r="BI119" s="22" t="n"/>
      <c r="BJ119" s="22" t="n"/>
      <c r="BK119" s="22" t="n"/>
      <c r="BL119" s="22" t="n"/>
      <c r="BM119" s="22" t="n"/>
      <c r="BN119" s="22" t="n"/>
      <c r="BO119" s="22" t="n"/>
      <c r="BP119" s="25" t="n"/>
    </row>
    <row r="120" ht="19.5" customHeight="1">
      <c r="B120" s="15" t="inlineStr">
        <is>
          <t>11.1</t>
        </is>
      </c>
      <c r="C120" s="16" t="inlineStr">
        <is>
          <t>M1 - Chốt baseline phạm vi, yêu cầu và thiết kế</t>
        </is>
      </c>
      <c r="D120" s="17" t="inlineStr">
        <is>
          <t>PM</t>
        </is>
      </c>
      <c r="E120" s="18" t="n">
        <v>46276</v>
      </c>
      <c r="F120" s="19" t="n">
        <v>46276</v>
      </c>
      <c r="G120" s="17">
        <f>IF(OR(E120="",F120=""),"",NETWORKDAYS(E120,F120))</f>
        <v/>
      </c>
      <c r="H120" s="20" t="n">
        <v>0</v>
      </c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6" t="inlineStr">
        <is>
          <t>◆</t>
        </is>
      </c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22" t="n"/>
      <c r="AM120" s="22" t="n"/>
      <c r="AN120" s="22" t="n"/>
      <c r="AO120" s="22" t="n"/>
      <c r="AP120" s="22" t="n"/>
      <c r="AQ120" s="22" t="n"/>
      <c r="AR120" s="22" t="n"/>
      <c r="AS120" s="22" t="n"/>
      <c r="AT120" s="22" t="n"/>
      <c r="AU120" s="22" t="n"/>
      <c r="AV120" s="22" t="n"/>
      <c r="AW120" s="22" t="n"/>
      <c r="AX120" s="22" t="n"/>
      <c r="AY120" s="22" t="n"/>
      <c r="AZ120" s="22" t="n"/>
      <c r="BA120" s="22" t="n"/>
      <c r="BB120" s="22" t="n"/>
      <c r="BC120" s="22" t="n"/>
      <c r="BD120" s="22" t="n"/>
      <c r="BE120" s="22" t="n"/>
      <c r="BF120" s="22" t="n"/>
      <c r="BG120" s="22" t="n"/>
      <c r="BH120" s="22" t="n"/>
      <c r="BI120" s="22" t="n"/>
      <c r="BJ120" s="22" t="n"/>
      <c r="BK120" s="22" t="n"/>
      <c r="BL120" s="22" t="n"/>
      <c r="BM120" s="22" t="n"/>
      <c r="BN120" s="22" t="n"/>
      <c r="BO120" s="22" t="n"/>
      <c r="BP120" s="22" t="n"/>
    </row>
    <row r="121" ht="19.5" customHeight="1">
      <c r="B121" s="15" t="inlineStr">
        <is>
          <t>11.2</t>
        </is>
      </c>
      <c r="C121" s="16" t="inlineStr">
        <is>
          <t>M2 - Hoàn thành đăng nhập, phân quyền và quản trị</t>
        </is>
      </c>
      <c r="D121" s="17" t="inlineStr">
        <is>
          <t>PM</t>
        </is>
      </c>
      <c r="E121" s="18" t="n">
        <v>46290</v>
      </c>
      <c r="F121" s="19" t="n">
        <v>46290</v>
      </c>
      <c r="G121" s="17">
        <f>IF(OR(E121="",F121=""),"",NETWORKDAYS(E121,F121))</f>
        <v/>
      </c>
      <c r="H121" s="20" t="n">
        <v>0</v>
      </c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6" t="inlineStr">
        <is>
          <t>◆</t>
        </is>
      </c>
      <c r="AC121" s="22" t="n"/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22" t="n"/>
      <c r="AM121" s="22" t="n"/>
      <c r="AN121" s="22" t="n"/>
      <c r="AO121" s="22" t="n"/>
      <c r="AP121" s="22" t="n"/>
      <c r="AQ121" s="22" t="n"/>
      <c r="AR121" s="22" t="n"/>
      <c r="AS121" s="22" t="n"/>
      <c r="AT121" s="22" t="n"/>
      <c r="AU121" s="22" t="n"/>
      <c r="AV121" s="22" t="n"/>
      <c r="AW121" s="22" t="n"/>
      <c r="AX121" s="22" t="n"/>
      <c r="AY121" s="22" t="n"/>
      <c r="AZ121" s="22" t="n"/>
      <c r="BA121" s="22" t="n"/>
      <c r="BB121" s="22" t="n"/>
      <c r="BC121" s="22" t="n"/>
      <c r="BD121" s="22" t="n"/>
      <c r="BE121" s="22" t="n"/>
      <c r="BF121" s="22" t="n"/>
      <c r="BG121" s="22" t="n"/>
      <c r="BH121" s="22" t="n"/>
      <c r="BI121" s="22" t="n"/>
      <c r="BJ121" s="22" t="n"/>
      <c r="BK121" s="22" t="n"/>
      <c r="BL121" s="22" t="n"/>
      <c r="BM121" s="22" t="n"/>
      <c r="BN121" s="22" t="n"/>
      <c r="BO121" s="22" t="n"/>
      <c r="BP121" s="22" t="n"/>
    </row>
    <row r="122" ht="19.5" customHeight="1">
      <c r="B122" s="15" t="inlineStr">
        <is>
          <t>11.3</t>
        </is>
      </c>
      <c r="C122" s="16" t="inlineStr">
        <is>
          <t>M3 - Hoàn thành hồ sơ Intern, Mentor và phân công</t>
        </is>
      </c>
      <c r="D122" s="17" t="inlineStr">
        <is>
          <t>PM</t>
        </is>
      </c>
      <c r="E122" s="18" t="n">
        <v>46304</v>
      </c>
      <c r="F122" s="19" t="n">
        <v>46304</v>
      </c>
      <c r="G122" s="17">
        <f>IF(OR(E122="",F122=""),"",NETWORKDAYS(E122,F122))</f>
        <v/>
      </c>
      <c r="H122" s="20" t="n">
        <v>0</v>
      </c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26" t="inlineStr">
        <is>
          <t>◆</t>
        </is>
      </c>
      <c r="AM122" s="22" t="n"/>
      <c r="AN122" s="22" t="n"/>
      <c r="AO122" s="22" t="n"/>
      <c r="AP122" s="22" t="n"/>
      <c r="AQ122" s="22" t="n"/>
      <c r="AR122" s="22" t="n"/>
      <c r="AS122" s="22" t="n"/>
      <c r="AT122" s="22" t="n"/>
      <c r="AU122" s="22" t="n"/>
      <c r="AV122" s="22" t="n"/>
      <c r="AW122" s="22" t="n"/>
      <c r="AX122" s="22" t="n"/>
      <c r="AY122" s="22" t="n"/>
      <c r="AZ122" s="22" t="n"/>
      <c r="BA122" s="22" t="n"/>
      <c r="BB122" s="22" t="n"/>
      <c r="BC122" s="22" t="n"/>
      <c r="BD122" s="22" t="n"/>
      <c r="BE122" s="22" t="n"/>
      <c r="BF122" s="22" t="n"/>
      <c r="BG122" s="22" t="n"/>
      <c r="BH122" s="22" t="n"/>
      <c r="BI122" s="22" t="n"/>
      <c r="BJ122" s="22" t="n"/>
      <c r="BK122" s="22" t="n"/>
      <c r="BL122" s="22" t="n"/>
      <c r="BM122" s="22" t="n"/>
      <c r="BN122" s="22" t="n"/>
      <c r="BO122" s="22" t="n"/>
      <c r="BP122" s="22" t="n"/>
    </row>
    <row r="123" ht="19.5" customHeight="1">
      <c r="B123" s="15" t="inlineStr">
        <is>
          <t>11.4</t>
        </is>
      </c>
      <c r="C123" s="16" t="inlineStr">
        <is>
          <t>M4 - Hoàn thành giao việc, chấm công và báo cáo tuần</t>
        </is>
      </c>
      <c r="D123" s="17" t="inlineStr">
        <is>
          <t>PM</t>
        </is>
      </c>
      <c r="E123" s="18" t="n">
        <v>46318</v>
      </c>
      <c r="F123" s="19" t="n">
        <v>46318</v>
      </c>
      <c r="G123" s="17">
        <f>IF(OR(E123="",F123=""),"",NETWORKDAYS(E123,F123))</f>
        <v/>
      </c>
      <c r="H123" s="20" t="n">
        <v>0</v>
      </c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2" t="n"/>
      <c r="AM123" s="22" t="n"/>
      <c r="AN123" s="22" t="n"/>
      <c r="AO123" s="22" t="n"/>
      <c r="AP123" s="22" t="n"/>
      <c r="AQ123" s="22" t="n"/>
      <c r="AR123" s="22" t="n"/>
      <c r="AS123" s="22" t="n"/>
      <c r="AT123" s="22" t="n"/>
      <c r="AU123" s="22" t="n"/>
      <c r="AV123" s="26" t="inlineStr">
        <is>
          <t>◆</t>
        </is>
      </c>
      <c r="AW123" s="22" t="n"/>
      <c r="AX123" s="22" t="n"/>
      <c r="AY123" s="22" t="n"/>
      <c r="AZ123" s="22" t="n"/>
      <c r="BA123" s="22" t="n"/>
      <c r="BB123" s="22" t="n"/>
      <c r="BC123" s="22" t="n"/>
      <c r="BD123" s="22" t="n"/>
      <c r="BE123" s="22" t="n"/>
      <c r="BF123" s="22" t="n"/>
      <c r="BG123" s="22" t="n"/>
      <c r="BH123" s="22" t="n"/>
      <c r="BI123" s="22" t="n"/>
      <c r="BJ123" s="22" t="n"/>
      <c r="BK123" s="22" t="n"/>
      <c r="BL123" s="22" t="n"/>
      <c r="BM123" s="22" t="n"/>
      <c r="BN123" s="22" t="n"/>
      <c r="BO123" s="22" t="n"/>
      <c r="BP123" s="22" t="n"/>
    </row>
    <row r="124" ht="19.5" customHeight="1">
      <c r="B124" s="15" t="inlineStr">
        <is>
          <t>11.5</t>
        </is>
      </c>
      <c r="C124" s="16" t="inlineStr">
        <is>
          <t>M5 - Feature Complete: đánh giá, tiến độ, dashboard, xuất kết quả</t>
        </is>
      </c>
      <c r="D124" s="17" t="inlineStr">
        <is>
          <t>PM</t>
        </is>
      </c>
      <c r="E124" s="18" t="n">
        <v>46332</v>
      </c>
      <c r="F124" s="19" t="n">
        <v>46332</v>
      </c>
      <c r="G124" s="17">
        <f>IF(OR(E124="",F124=""),"",NETWORKDAYS(E124,F124))</f>
        <v/>
      </c>
      <c r="H124" s="20" t="n">
        <v>0</v>
      </c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22" t="n"/>
      <c r="AM124" s="22" t="n"/>
      <c r="AN124" s="22" t="n"/>
      <c r="AO124" s="22" t="n"/>
      <c r="AP124" s="22" t="n"/>
      <c r="AQ124" s="22" t="n"/>
      <c r="AR124" s="22" t="n"/>
      <c r="AS124" s="22" t="n"/>
      <c r="AT124" s="22" t="n"/>
      <c r="AU124" s="22" t="n"/>
      <c r="AV124" s="22" t="n"/>
      <c r="AW124" s="22" t="n"/>
      <c r="AX124" s="22" t="n"/>
      <c r="AY124" s="22" t="n"/>
      <c r="AZ124" s="22" t="n"/>
      <c r="BA124" s="22" t="n"/>
      <c r="BB124" s="22" t="n"/>
      <c r="BC124" s="22" t="n"/>
      <c r="BD124" s="22" t="n"/>
      <c r="BE124" s="22" t="n"/>
      <c r="BF124" s="26" t="inlineStr">
        <is>
          <t>◆</t>
        </is>
      </c>
      <c r="BG124" s="22" t="n"/>
      <c r="BH124" s="22" t="n"/>
      <c r="BI124" s="22" t="n"/>
      <c r="BJ124" s="22" t="n"/>
      <c r="BK124" s="22" t="n"/>
      <c r="BL124" s="22" t="n"/>
      <c r="BM124" s="22" t="n"/>
      <c r="BN124" s="22" t="n"/>
      <c r="BO124" s="22" t="n"/>
      <c r="BP124" s="22" t="n"/>
    </row>
    <row r="125" ht="19.5" customHeight="1">
      <c r="B125" s="15" t="inlineStr">
        <is>
          <t>11.6</t>
        </is>
      </c>
      <c r="C125" s="16" t="inlineStr">
        <is>
          <t>M6 - Nghiệm thu và phát hành IMS v1.0.0</t>
        </is>
      </c>
      <c r="D125" s="17" t="inlineStr">
        <is>
          <t>PM</t>
        </is>
      </c>
      <c r="E125" s="18" t="n">
        <v>46346</v>
      </c>
      <c r="F125" s="19" t="n">
        <v>46346</v>
      </c>
      <c r="G125" s="17">
        <f>IF(OR(E125="",F125=""),"",NETWORKDAYS(E125,F125))</f>
        <v/>
      </c>
      <c r="H125" s="20" t="n">
        <v>0</v>
      </c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2" t="n"/>
      <c r="AM125" s="22" t="n"/>
      <c r="AN125" s="22" t="n"/>
      <c r="AO125" s="22" t="n"/>
      <c r="AP125" s="22" t="n"/>
      <c r="AQ125" s="22" t="n"/>
      <c r="AR125" s="22" t="n"/>
      <c r="AS125" s="22" t="n"/>
      <c r="AT125" s="22" t="n"/>
      <c r="AU125" s="22" t="n"/>
      <c r="AV125" s="22" t="n"/>
      <c r="AW125" s="22" t="n"/>
      <c r="AX125" s="22" t="n"/>
      <c r="AY125" s="22" t="n"/>
      <c r="AZ125" s="22" t="n"/>
      <c r="BA125" s="22" t="n"/>
      <c r="BB125" s="22" t="n"/>
      <c r="BC125" s="22" t="n"/>
      <c r="BD125" s="22" t="n"/>
      <c r="BE125" s="22" t="n"/>
      <c r="BF125" s="22" t="n"/>
      <c r="BG125" s="22" t="n"/>
      <c r="BH125" s="22" t="n"/>
      <c r="BI125" s="22" t="n"/>
      <c r="BJ125" s="22" t="n"/>
      <c r="BK125" s="22" t="n"/>
      <c r="BL125" s="22" t="n"/>
      <c r="BM125" s="22" t="n"/>
      <c r="BN125" s="22" t="n"/>
      <c r="BO125" s="22" t="n"/>
      <c r="BP125" s="26" t="inlineStr">
        <is>
          <t>◆</t>
        </is>
      </c>
    </row>
    <row r="127">
      <c r="B127" s="27" t="inlineStr">
        <is>
          <t>CHÚ GIẢI</t>
        </is>
      </c>
    </row>
    <row r="128">
      <c r="B128" s="28" t="n"/>
      <c r="C128" s="3" t="inlineStr">
        <is>
          <t>Công việc tổng hợp (Task/Epic) - bao trọn thời gian của các công việc con</t>
        </is>
      </c>
    </row>
    <row r="129">
      <c r="B129" s="29" t="n"/>
      <c r="C129" s="3" t="inlineStr">
        <is>
          <t>Công việc chi tiết do một vai trò PM, BA, FE hoặc BE thực hiện</t>
        </is>
      </c>
    </row>
    <row r="130">
      <c r="B130" s="30" t="n"/>
      <c r="C130" s="3" t="inlineStr">
        <is>
          <t>Công việc nằm trên đường găng (Critical Path) - trễ 1 ngày là trễ cả dự án</t>
        </is>
      </c>
    </row>
    <row r="131">
      <c r="B131" s="31" t="n"/>
      <c r="C131" s="3" t="inlineStr">
        <is>
          <t>Công việc kiểm thử do TEST phụ trách</t>
        </is>
      </c>
    </row>
    <row r="132">
      <c r="B132" s="32" t="n"/>
      <c r="C132" s="3" t="inlineStr">
        <is>
          <t>Mốc kiểm soát M1-M6 (◆), thời lượng 1 ngày, không tiêu tốn nguồn lực</t>
        </is>
      </c>
    </row>
    <row r="134">
      <c r="B134" s="27" t="inlineStr">
        <is>
          <t>TÓM TẮT SPRINT</t>
        </is>
      </c>
    </row>
    <row r="135">
      <c r="B135" s="2" t="inlineStr">
        <is>
          <t>Sprint</t>
        </is>
      </c>
      <c r="C135" s="33" t="inlineStr">
        <is>
          <t>Phạm vi chính</t>
        </is>
      </c>
      <c r="D135" s="33" t="inlineStr">
        <is>
          <t>Thời gian</t>
        </is>
      </c>
      <c r="E135" s="33" t="inlineStr">
        <is>
          <t>User Story</t>
        </is>
      </c>
      <c r="H135" s="33" t="inlineStr">
        <is>
          <t>SP</t>
        </is>
      </c>
    </row>
    <row r="136">
      <c r="B136" s="3" t="inlineStr">
        <is>
          <t>Sprint 0</t>
        </is>
      </c>
      <c r="C136" s="34" t="inlineStr">
        <is>
          <t>Charter, SRS, Use Case, User Story, thiết kế UI/ERD/API, hạ tầng GitHub - Jira - CI</t>
        </is>
      </c>
      <c r="D136" s="35" t="inlineStr">
        <is>
          <t>Tuần 1-2</t>
        </is>
      </c>
      <c r="E136" s="35" t="inlineStr">
        <is>
          <t>-</t>
        </is>
      </c>
      <c r="H136" s="35" t="n">
        <v>0</v>
      </c>
    </row>
    <row r="137">
      <c r="B137" s="3" t="inlineStr">
        <is>
          <t>Sprint 1</t>
        </is>
      </c>
      <c r="C137" s="34" t="inlineStr">
        <is>
          <t>Đăng nhập JWT, phân quyền 3 role, quản lý tài khoản và phòng ban</t>
        </is>
      </c>
      <c r="D137" s="35" t="inlineStr">
        <is>
          <t>Tuần 3-4</t>
        </is>
      </c>
      <c r="E137" s="35" t="inlineStr">
        <is>
          <t>US-01..US-04</t>
        </is>
      </c>
      <c r="H137" s="35" t="n">
        <v>13</v>
      </c>
    </row>
    <row r="138">
      <c r="B138" s="3" t="inlineStr">
        <is>
          <t>Sprint 2</t>
        </is>
      </c>
      <c r="C138" s="34" t="inlineStr">
        <is>
          <t>Đăng ký thực tập, duyệt hồ sơ, quản lý Intern, quản lý và phân công Mentor</t>
        </is>
      </c>
      <c r="D138" s="35" t="inlineStr">
        <is>
          <t>Tuần 5-6</t>
        </is>
      </c>
      <c r="E138" s="35" t="inlineStr">
        <is>
          <t>US-05..US-08</t>
        </is>
      </c>
      <c r="H138" s="35" t="n">
        <v>14</v>
      </c>
    </row>
    <row r="139">
      <c r="B139" s="3" t="inlineStr">
        <is>
          <t>Sprint 3</t>
        </is>
      </c>
      <c r="C139" s="34" t="inlineStr">
        <is>
          <t>Giao và theo dõi task, chấm công, nộp báo cáo tuần</t>
        </is>
      </c>
      <c r="D139" s="35" t="inlineStr">
        <is>
          <t>Tuần 7-8</t>
        </is>
      </c>
      <c r="E139" s="35" t="inlineStr">
        <is>
          <t>US-09..US-12</t>
        </is>
      </c>
      <c r="H139" s="35" t="n">
        <v>16</v>
      </c>
    </row>
    <row r="140">
      <c r="B140" s="3" t="inlineStr">
        <is>
          <t>Sprint 4</t>
        </is>
      </c>
      <c r="C140" s="34" t="inlineStr">
        <is>
          <t>Đánh giá Intern, theo dõi tiến độ, dashboard, xuất kết quả cuối kỳ</t>
        </is>
      </c>
      <c r="D140" s="35" t="inlineStr">
        <is>
          <t>Tuần 9-10</t>
        </is>
      </c>
      <c r="E140" s="35" t="inlineStr">
        <is>
          <t>US-13..US-16</t>
        </is>
      </c>
      <c r="H140" s="35" t="n">
        <v>16</v>
      </c>
    </row>
    <row r="141">
      <c r="B141" s="3" t="inlineStr">
        <is>
          <t>Sprint 5</t>
        </is>
      </c>
      <c r="C141" s="34" t="inlineStr">
        <is>
          <t>Hồi quy, sửa bug, UAT, phát hành v1.0.0 và nghiệm thu</t>
        </is>
      </c>
      <c r="D141" s="35" t="inlineStr">
        <is>
          <t>Tuần 11-12</t>
        </is>
      </c>
      <c r="E141" s="35" t="inlineStr">
        <is>
          <t>-</t>
        </is>
      </c>
      <c r="H141" s="35" t="n">
        <v>0</v>
      </c>
    </row>
    <row r="142">
      <c r="B142" s="36" t="inlineStr">
        <is>
          <t>Tổng</t>
        </is>
      </c>
      <c r="C142" s="36" t="inlineStr">
        <is>
          <t>Release v1.0.0 - phạm vi FR-01..FR-30</t>
        </is>
      </c>
      <c r="D142" s="37" t="inlineStr">
        <is>
          <t>12 tuần</t>
        </is>
      </c>
      <c r="E142" s="37" t="inlineStr">
        <is>
          <t>16 User Story</t>
        </is>
      </c>
      <c r="H142" s="37" t="n">
        <v>59</v>
      </c>
    </row>
    <row r="144">
      <c r="B144" s="27" t="inlineStr">
        <is>
          <t>GHI CHÚ</t>
        </is>
      </c>
    </row>
    <row r="145">
      <c r="C145" s="3" t="inlineStr">
        <is>
          <t>Ô cần nhập khi triển khai: cột PCT OF TASK COMPLETE (H) - nhập % hoàn thành thực tế của từng dòng.</t>
        </is>
      </c>
    </row>
    <row r="146">
      <c r="C146" s="3" t="inlineStr">
        <is>
          <t>Cột DURATION IN DAYS (G) là công thức NETWORKDAYS, tự tính số ngày làm việc từ START DATE và DUE DATE - không sửa tay.</t>
        </is>
      </c>
    </row>
    <row r="147">
      <c r="C147" s="3" t="inlineStr">
        <is>
          <t>Lịch tuần 5 ngày (Thứ Hai - Thứ Sáu), bắt đầu 31/08/2026, kết thúc 20/11/2026. Ngày lễ 02/09 được làm bù vào cuối tuần nên không trừ khỏi lịch.</t>
        </is>
      </c>
    </row>
    <row r="148">
      <c r="C148" s="3" t="inlineStr">
        <is>
          <t>Toàn bộ 5 vai trò PM, BA, FE, BE, TEST do một người (Trần Việt Anh) đảm nhận; cột OWNER là vai trò đang 'đội mũ', không phải người khác nhau. Các dòng chồng thời gian được làm xen kẽ theo khung giờ trong ngày.</t>
        </is>
      </c>
    </row>
    <row r="149">
      <c r="C149" s="3" t="inlineStr">
        <is>
          <t>Tổng nỗ lực ước lượng 319 giờ; tải trung bình khoảng 27 giờ/tuần, cao điểm 39 giờ ở tuần 2 (Sprint 0) - xem sheet 'Phân bổ nguồn lực'.</t>
        </is>
      </c>
    </row>
    <row r="150">
      <c r="C150" s="3" t="inlineStr">
        <is>
          <t>Sprint 0 và Sprint 5 không cam kết Story Point vì dành cho chuẩn bị và ổn định; 59 SP chia cho 4 Sprint phát triển, velocity kế hoạch khoảng 15 SP/Sprint.</t>
        </is>
      </c>
    </row>
    <row r="151">
      <c r="C151" s="3" t="inlineStr">
        <is>
          <t>Đường găng: 1.1 &gt; 2.2 &gt; 2.7 &gt; 3.5 &gt; 5.2 &gt; 5.4 &gt; 6.2 &gt; 6.4 &gt; 6.8 &gt; 7.2 &gt; 7.4 &gt; 7.8 &gt; 8.4 &gt; 8.6 &gt; 8.8 &gt; 9.7 &gt; 10.1 &gt; 10.4 &gt; 10.6 &gt; 10.12.</t>
        </is>
      </c>
    </row>
    <row r="152">
      <c r="C152" s="3" t="inlineStr">
        <is>
          <t>Công việc 1.8, 1.9, 2.9, 9.4, 9.5 chạy liên tục nhiều tuần theo nhịp Sprint, không phải làm một lần.</t>
        </is>
      </c>
    </row>
    <row r="153">
      <c r="C153" s="3" t="inlineStr">
        <is>
          <t>Mỗi Sprint theo nhịp: BA chốt AC đầu Sprint &gt; BE/FE phát triển &gt; BA nghiệm thu nội bộ &gt; TEST chạy test case &gt; BA refine backlog cho Sprint kế tiếp.</t>
        </is>
      </c>
    </row>
  </sheetData>
  <mergeCells count="34">
    <mergeCell ref="BL8:BP8"/>
    <mergeCell ref="E137:G137"/>
    <mergeCell ref="AM8:AQ8"/>
    <mergeCell ref="AW8:BA8"/>
    <mergeCell ref="B3:C3"/>
    <mergeCell ref="AM7:AV7"/>
    <mergeCell ref="BG7:BP7"/>
    <mergeCell ref="X8:AB8"/>
    <mergeCell ref="BG8:BK8"/>
    <mergeCell ref="AH8:AL8"/>
    <mergeCell ref="AR8:AV8"/>
    <mergeCell ref="B2:C2"/>
    <mergeCell ref="S8:W8"/>
    <mergeCell ref="BB8:BF8"/>
    <mergeCell ref="D2:H2"/>
    <mergeCell ref="AC7:AL7"/>
    <mergeCell ref="AC8:AG8"/>
    <mergeCell ref="E136:G136"/>
    <mergeCell ref="AW7:BF7"/>
    <mergeCell ref="N8:R8"/>
    <mergeCell ref="E139:G139"/>
    <mergeCell ref="I7:R7"/>
    <mergeCell ref="D4:H4"/>
    <mergeCell ref="I8:M8"/>
    <mergeCell ref="S7:AB7"/>
    <mergeCell ref="D3:H3"/>
    <mergeCell ref="E142:G142"/>
    <mergeCell ref="B5:C5"/>
    <mergeCell ref="E141:G141"/>
    <mergeCell ref="E138:G138"/>
    <mergeCell ref="E135:G135"/>
    <mergeCell ref="D5:H5"/>
    <mergeCell ref="E140:G140"/>
    <mergeCell ref="B4:C4"/>
  </mergeCells>
  <conditionalFormatting sqref="H10:H125">
    <cfRule type="dataBar" priority="1">
      <dataBar>
        <cfvo type="num" val="0"/>
        <cfvo type="num" val="1"/>
        <color rgb="005B9BD5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19"/>
  <sheetViews>
    <sheetView showGridLines="0"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4" customWidth="1" min="11" max="11"/>
  </cols>
  <sheetData>
    <row r="1">
      <c r="B1" s="38" t="inlineStr">
        <is>
          <t>Phân bổ nguồn lực theo tuần (giờ) - 1 người, 5 vai trò</t>
        </is>
      </c>
    </row>
    <row r="3">
      <c r="B3" s="33" t="inlineStr">
        <is>
          <t>Tuần</t>
        </is>
      </c>
      <c r="C3" s="33" t="inlineStr">
        <is>
          <t>Từ ngày</t>
        </is>
      </c>
      <c r="D3" s="33" t="inlineStr">
        <is>
          <t>PM</t>
        </is>
      </c>
      <c r="E3" s="33" t="inlineStr">
        <is>
          <t>BA</t>
        </is>
      </c>
      <c r="F3" s="33" t="inlineStr">
        <is>
          <t>FE</t>
        </is>
      </c>
      <c r="G3" s="33" t="inlineStr">
        <is>
          <t>BE</t>
        </is>
      </c>
      <c r="H3" s="33" t="inlineStr">
        <is>
          <t>TEST</t>
        </is>
      </c>
      <c r="I3" s="33" t="inlineStr">
        <is>
          <t>Tổng giờ</t>
        </is>
      </c>
      <c r="J3" s="33" t="inlineStr">
        <is>
          <t>Năng lực</t>
        </is>
      </c>
      <c r="K3" s="33" t="inlineStr">
        <is>
          <t>Đánh giá</t>
        </is>
      </c>
    </row>
    <row r="4">
      <c r="B4" s="35" t="inlineStr">
        <is>
          <t>Tuần 1</t>
        </is>
      </c>
      <c r="C4" s="39" t="n">
        <v>46265</v>
      </c>
      <c r="D4" s="40" t="n">
        <v>12.5</v>
      </c>
      <c r="E4" s="40" t="n">
        <v>13.5</v>
      </c>
      <c r="F4" s="40" t="n">
        <v>2</v>
      </c>
      <c r="G4" s="40" t="n">
        <v>5</v>
      </c>
      <c r="H4" s="40" t="n">
        <v>0</v>
      </c>
      <c r="I4" s="41">
        <f>SUM(D4:H4)</f>
        <v/>
      </c>
      <c r="J4" s="35" t="n">
        <v>40</v>
      </c>
      <c r="K4" s="35">
        <f>IF(I4&gt;J4,"QUÁ TẢI - cần san tải","OK")</f>
        <v/>
      </c>
    </row>
    <row r="5">
      <c r="B5" s="35" t="inlineStr">
        <is>
          <t>Tuần 2</t>
        </is>
      </c>
      <c r="C5" s="39" t="n">
        <v>46272</v>
      </c>
      <c r="D5" s="40" t="n">
        <v>8.5</v>
      </c>
      <c r="E5" s="40" t="n">
        <v>14.5</v>
      </c>
      <c r="F5" s="40" t="n">
        <v>5</v>
      </c>
      <c r="G5" s="40" t="n">
        <v>11</v>
      </c>
      <c r="H5" s="40" t="n">
        <v>0</v>
      </c>
      <c r="I5" s="41">
        <f>SUM(D5:H5)</f>
        <v/>
      </c>
      <c r="J5" s="35" t="n">
        <v>40</v>
      </c>
      <c r="K5" s="35">
        <f>IF(I5&gt;J5,"QUÁ TẢI - cần san tải","OK")</f>
        <v/>
      </c>
    </row>
    <row r="6">
      <c r="B6" s="35" t="inlineStr">
        <is>
          <t>Tuần 3</t>
        </is>
      </c>
      <c r="C6" s="39" t="n">
        <v>46279</v>
      </c>
      <c r="D6" s="40" t="n">
        <v>2.5</v>
      </c>
      <c r="E6" s="40" t="n">
        <v>2.5</v>
      </c>
      <c r="F6" s="40" t="n">
        <v>6</v>
      </c>
      <c r="G6" s="40" t="n">
        <v>9.699999999999999</v>
      </c>
      <c r="H6" s="40" t="n">
        <v>5.2</v>
      </c>
      <c r="I6" s="41">
        <f>SUM(D6:H6)</f>
        <v/>
      </c>
      <c r="J6" s="35" t="n">
        <v>30</v>
      </c>
      <c r="K6" s="35">
        <f>IF(I6&gt;J6,"QUÁ TẢI - cần san tải","OK")</f>
        <v/>
      </c>
    </row>
    <row r="7">
      <c r="B7" s="35" t="inlineStr">
        <is>
          <t>Tuần 4</t>
        </is>
      </c>
      <c r="C7" s="39" t="n">
        <v>46286</v>
      </c>
      <c r="D7" s="40" t="n">
        <v>2.5</v>
      </c>
      <c r="E7" s="40" t="n">
        <v>2.5</v>
      </c>
      <c r="F7" s="40" t="n">
        <v>7</v>
      </c>
      <c r="G7" s="40" t="n">
        <v>8.300000000000001</v>
      </c>
      <c r="H7" s="40" t="n">
        <v>9.699999999999999</v>
      </c>
      <c r="I7" s="41">
        <f>SUM(D7:H7)</f>
        <v/>
      </c>
      <c r="J7" s="35" t="n">
        <v>30</v>
      </c>
      <c r="K7" s="35">
        <f>IF(I7&gt;J7,"QUÁ TẢI - cần san tải","OK")</f>
        <v/>
      </c>
    </row>
    <row r="8">
      <c r="B8" s="35" t="inlineStr">
        <is>
          <t>Tuần 5</t>
        </is>
      </c>
      <c r="C8" s="39" t="n">
        <v>46293</v>
      </c>
      <c r="D8" s="40" t="n">
        <v>2.5</v>
      </c>
      <c r="E8" s="40" t="n">
        <v>2.5</v>
      </c>
      <c r="F8" s="40" t="n">
        <v>4.5</v>
      </c>
      <c r="G8" s="40" t="n">
        <v>7.3</v>
      </c>
      <c r="H8" s="40" t="n">
        <v>2</v>
      </c>
      <c r="I8" s="41">
        <f>SUM(D8:H8)</f>
        <v/>
      </c>
      <c r="J8" s="35" t="n">
        <v>30</v>
      </c>
      <c r="K8" s="35">
        <f>IF(I8&gt;J8,"QUÁ TẢI - cần san tải","OK")</f>
        <v/>
      </c>
    </row>
    <row r="9">
      <c r="B9" s="35" t="inlineStr">
        <is>
          <t>Tuần 6</t>
        </is>
      </c>
      <c r="C9" s="39" t="n">
        <v>46300</v>
      </c>
      <c r="D9" s="40" t="n">
        <v>2.5</v>
      </c>
      <c r="E9" s="40" t="n">
        <v>2.5</v>
      </c>
      <c r="F9" s="40" t="n">
        <v>8.5</v>
      </c>
      <c r="G9" s="40" t="n">
        <v>9.699999999999999</v>
      </c>
      <c r="H9" s="40" t="n">
        <v>5</v>
      </c>
      <c r="I9" s="41">
        <f>SUM(D9:H9)</f>
        <v/>
      </c>
      <c r="J9" s="35" t="n">
        <v>30</v>
      </c>
      <c r="K9" s="35">
        <f>IF(I9&gt;J9,"QUÁ TẢI - cần san tải","OK")</f>
        <v/>
      </c>
    </row>
    <row r="10">
      <c r="B10" s="35" t="inlineStr">
        <is>
          <t>Tuần 7</t>
        </is>
      </c>
      <c r="C10" s="39" t="n">
        <v>46307</v>
      </c>
      <c r="D10" s="40" t="n">
        <v>2.5</v>
      </c>
      <c r="E10" s="40" t="n">
        <v>2.5</v>
      </c>
      <c r="F10" s="40" t="n">
        <v>6.7</v>
      </c>
      <c r="G10" s="40" t="n">
        <v>9.5</v>
      </c>
      <c r="H10" s="40" t="n">
        <v>2</v>
      </c>
      <c r="I10" s="41">
        <f>SUM(D10:H10)</f>
        <v/>
      </c>
      <c r="J10" s="35" t="n">
        <v>30</v>
      </c>
      <c r="K10" s="35">
        <f>IF(I10&gt;J10,"QUÁ TẢI - cần san tải","OK")</f>
        <v/>
      </c>
    </row>
    <row r="11">
      <c r="B11" s="35" t="inlineStr">
        <is>
          <t>Tuần 8</t>
        </is>
      </c>
      <c r="C11" s="39" t="n">
        <v>46314</v>
      </c>
      <c r="D11" s="40" t="n">
        <v>2.5</v>
      </c>
      <c r="E11" s="40" t="n">
        <v>2.5</v>
      </c>
      <c r="F11" s="40" t="n">
        <v>8.300000000000001</v>
      </c>
      <c r="G11" s="40" t="n">
        <v>5.5</v>
      </c>
      <c r="H11" s="40" t="n">
        <v>5</v>
      </c>
      <c r="I11" s="41">
        <f>SUM(D11:H11)</f>
        <v/>
      </c>
      <c r="J11" s="35" t="n">
        <v>30</v>
      </c>
      <c r="K11" s="35">
        <f>IF(I11&gt;J11,"QUÁ TẢI - cần san tải","OK")</f>
        <v/>
      </c>
    </row>
    <row r="12">
      <c r="B12" s="35" t="inlineStr">
        <is>
          <t>Tuần 9</t>
        </is>
      </c>
      <c r="C12" s="39" t="n">
        <v>46321</v>
      </c>
      <c r="D12" s="40" t="n">
        <v>2.5</v>
      </c>
      <c r="E12" s="40" t="n">
        <v>2.5</v>
      </c>
      <c r="F12" s="40" t="n">
        <v>4</v>
      </c>
      <c r="G12" s="40" t="n">
        <v>7</v>
      </c>
      <c r="H12" s="40" t="n">
        <v>4.5</v>
      </c>
      <c r="I12" s="41">
        <f>SUM(D12:H12)</f>
        <v/>
      </c>
      <c r="J12" s="35" t="n">
        <v>30</v>
      </c>
      <c r="K12" s="35">
        <f>IF(I12&gt;J12,"QUÁ TẢI - cần san tải","OK")</f>
        <v/>
      </c>
    </row>
    <row r="13">
      <c r="B13" s="35" t="inlineStr">
        <is>
          <t>Tuần 10</t>
        </is>
      </c>
      <c r="C13" s="39" t="n">
        <v>46328</v>
      </c>
      <c r="D13" s="40" t="n">
        <v>2.5</v>
      </c>
      <c r="E13" s="40" t="n">
        <v>3.5</v>
      </c>
      <c r="F13" s="40" t="n">
        <v>8</v>
      </c>
      <c r="G13" s="40" t="n">
        <v>8</v>
      </c>
      <c r="H13" s="40" t="n">
        <v>7.5</v>
      </c>
      <c r="I13" s="41">
        <f>SUM(D13:H13)</f>
        <v/>
      </c>
      <c r="J13" s="35" t="n">
        <v>30</v>
      </c>
      <c r="K13" s="35">
        <f>IF(I13&gt;J13,"QUÁ TẢI - cần san tải","OK")</f>
        <v/>
      </c>
    </row>
    <row r="14">
      <c r="B14" s="35" t="inlineStr">
        <is>
          <t>Tuần 11</t>
        </is>
      </c>
      <c r="C14" s="39" t="n">
        <v>46335</v>
      </c>
      <c r="D14" s="40" t="n">
        <v>2.5</v>
      </c>
      <c r="E14" s="40" t="n">
        <v>0</v>
      </c>
      <c r="F14" s="40" t="n">
        <v>4</v>
      </c>
      <c r="G14" s="40" t="n">
        <v>11</v>
      </c>
      <c r="H14" s="40" t="n">
        <v>4.7</v>
      </c>
      <c r="I14" s="41">
        <f>SUM(D14:H14)</f>
        <v/>
      </c>
      <c r="J14" s="35" t="n">
        <v>30</v>
      </c>
      <c r="K14" s="35">
        <f>IF(I14&gt;J14,"QUÁ TẢI - cần san tải","OK")</f>
        <v/>
      </c>
    </row>
    <row r="15">
      <c r="B15" s="35" t="inlineStr">
        <is>
          <t>Tuần 12</t>
        </is>
      </c>
      <c r="C15" s="39" t="n">
        <v>46342</v>
      </c>
      <c r="D15" s="40" t="n">
        <v>9.5</v>
      </c>
      <c r="E15" s="40" t="n">
        <v>8</v>
      </c>
      <c r="F15" s="40" t="n">
        <v>0</v>
      </c>
      <c r="G15" s="40" t="n">
        <v>4</v>
      </c>
      <c r="H15" s="40" t="n">
        <v>3</v>
      </c>
      <c r="I15" s="41">
        <f>SUM(D15:H15)</f>
        <v/>
      </c>
      <c r="J15" s="35" t="n">
        <v>30</v>
      </c>
      <c r="K15" s="35">
        <f>IF(I15&gt;J15,"QUÁ TẢI - cần san tải","OK")</f>
        <v/>
      </c>
    </row>
    <row r="16">
      <c r="B16" s="37" t="inlineStr">
        <is>
          <t>Tổng</t>
        </is>
      </c>
      <c r="D16" s="42">
        <f>SUM(D4:D15)</f>
        <v/>
      </c>
      <c r="E16" s="42">
        <f>SUM(E4:E15)</f>
        <v/>
      </c>
      <c r="F16" s="42">
        <f>SUM(F4:F15)</f>
        <v/>
      </c>
      <c r="G16" s="42">
        <f>SUM(G4:G15)</f>
        <v/>
      </c>
      <c r="H16" s="42">
        <f>SUM(H4:H15)</f>
        <v/>
      </c>
      <c r="I16" s="42">
        <f>SUM(I4:I15)</f>
        <v/>
      </c>
    </row>
    <row r="18">
      <c r="B18" t="inlineStr">
        <is>
          <t>Năng lực: 40 giờ/tuần ở Sprint 0 (chưa vào kỳ thi), 30 giờ/tuần từ Sprint 1 do song song các môn học khác.</t>
        </is>
      </c>
    </row>
    <row r="19">
      <c r="B19" t="inlineStr">
        <is>
          <t>Đã san tải (resource leveling): dời docker-compose sang tuần 1, khởi tạo React sang đầu Sprint 1, giảm giờ các bản vẽ thiết kế; tuần 2 từ 56 giờ còn 39 giờ.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2026-09-24T11:15:09Z</dcterms:created>
  <dcterms:modified xmlns:dcterms="http://purl.org/dc/terms/" xmlns:xsi="http://www.w3.org/2001/XMLSchema-instance" xsi:type="dcterms:W3CDTF">2026-09-24T11:15:09Z</dcterms:modified>
</cp:coreProperties>
</file>